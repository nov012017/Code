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ytics\Personal\Machine Learning\Training\R\Code Example\Basic R\Analytics Path\PCA\"/>
    </mc:Choice>
  </mc:AlternateContent>
  <bookViews>
    <workbookView xWindow="0" yWindow="0" windowWidth="15360" windowHeight="7530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2" l="1"/>
  <c r="J6" i="1" l="1"/>
  <c r="K7" i="1" l="1"/>
  <c r="K6" i="1"/>
  <c r="J7" i="1"/>
  <c r="R32" i="2" l="1"/>
  <c r="T12" i="2"/>
  <c r="S12" i="2"/>
  <c r="S11" i="2"/>
  <c r="R12" i="2"/>
  <c r="R11" i="2"/>
  <c r="R10" i="2"/>
  <c r="S9" i="2"/>
  <c r="T9" i="2"/>
  <c r="R8" i="2"/>
  <c r="S8" i="2"/>
  <c r="T8" i="2"/>
  <c r="Q7" i="2"/>
  <c r="R7" i="2"/>
  <c r="S7" i="2"/>
  <c r="T7" i="2"/>
  <c r="N4" i="2"/>
  <c r="O4" i="2"/>
  <c r="P4" i="2"/>
  <c r="Q4" i="2"/>
  <c r="R4" i="2"/>
  <c r="S4" i="2"/>
  <c r="T4" i="2"/>
  <c r="U4" i="2"/>
  <c r="U11" i="2"/>
  <c r="U10" i="2"/>
  <c r="T10" i="2"/>
  <c r="U9" i="2"/>
  <c r="U8" i="2"/>
  <c r="U7" i="2"/>
  <c r="Q6" i="2"/>
  <c r="R6" i="2"/>
  <c r="S6" i="2"/>
  <c r="T6" i="2"/>
  <c r="U6" i="2"/>
  <c r="P6" i="2"/>
  <c r="P5" i="2"/>
  <c r="Q5" i="2"/>
  <c r="R5" i="2"/>
  <c r="S5" i="2"/>
  <c r="T5" i="2"/>
  <c r="U5" i="2"/>
  <c r="O5" i="2"/>
  <c r="J129" i="2"/>
  <c r="I129" i="2"/>
  <c r="H129" i="2"/>
  <c r="G129" i="2"/>
  <c r="F129" i="2"/>
  <c r="E129" i="2"/>
  <c r="D129" i="2"/>
  <c r="C129" i="2"/>
  <c r="B129" i="2"/>
  <c r="J128" i="2"/>
  <c r="I128" i="2"/>
  <c r="H128" i="2"/>
  <c r="G128" i="2"/>
  <c r="F128" i="2"/>
  <c r="E128" i="2"/>
  <c r="D128" i="2"/>
  <c r="C128" i="2"/>
  <c r="B128" i="2"/>
  <c r="J127" i="2"/>
  <c r="I127" i="2"/>
  <c r="H127" i="2"/>
  <c r="G127" i="2"/>
  <c r="F127" i="2"/>
  <c r="E127" i="2"/>
  <c r="D127" i="2"/>
  <c r="C127" i="2"/>
  <c r="B127" i="2"/>
  <c r="J126" i="2"/>
  <c r="I126" i="2"/>
  <c r="H126" i="2"/>
  <c r="AD123" i="2" s="1"/>
  <c r="G126" i="2"/>
  <c r="F126" i="2"/>
  <c r="E126" i="2"/>
  <c r="AA120" i="2" s="1"/>
  <c r="D126" i="2"/>
  <c r="Z123" i="2" s="1"/>
  <c r="C126" i="2"/>
  <c r="B126" i="2"/>
  <c r="J125" i="2"/>
  <c r="I125" i="2"/>
  <c r="H125" i="2"/>
  <c r="G125" i="2"/>
  <c r="F125" i="2"/>
  <c r="E125" i="2"/>
  <c r="D125" i="2"/>
  <c r="C125" i="2"/>
  <c r="B125" i="2"/>
  <c r="AF123" i="2"/>
  <c r="AE123" i="2"/>
  <c r="AC123" i="2"/>
  <c r="AB123" i="2"/>
  <c r="AA123" i="2"/>
  <c r="Y123" i="2"/>
  <c r="X123" i="2"/>
  <c r="AF122" i="2"/>
  <c r="AE122" i="2"/>
  <c r="AD122" i="2"/>
  <c r="AC122" i="2"/>
  <c r="AB122" i="2"/>
  <c r="AA122" i="2"/>
  <c r="Z122" i="2"/>
  <c r="Y122" i="2"/>
  <c r="X122" i="2"/>
  <c r="AF121" i="2"/>
  <c r="AE121" i="2"/>
  <c r="AD121" i="2"/>
  <c r="AC121" i="2"/>
  <c r="AB121" i="2"/>
  <c r="AA121" i="2"/>
  <c r="Z121" i="2"/>
  <c r="Y121" i="2"/>
  <c r="X121" i="2"/>
  <c r="AF120" i="2"/>
  <c r="AE120" i="2"/>
  <c r="AD120" i="2"/>
  <c r="AC120" i="2"/>
  <c r="AB120" i="2"/>
  <c r="Z120" i="2"/>
  <c r="Y120" i="2"/>
  <c r="X120" i="2"/>
  <c r="AF119" i="2"/>
  <c r="AE119" i="2"/>
  <c r="AC119" i="2"/>
  <c r="AB119" i="2"/>
  <c r="AA119" i="2"/>
  <c r="Y119" i="2"/>
  <c r="X119" i="2"/>
  <c r="AF118" i="2"/>
  <c r="AE118" i="2"/>
  <c r="AD118" i="2"/>
  <c r="AC118" i="2"/>
  <c r="AB118" i="2"/>
  <c r="AA118" i="2"/>
  <c r="Z118" i="2"/>
  <c r="Y118" i="2"/>
  <c r="X118" i="2"/>
  <c r="AF117" i="2"/>
  <c r="AE117" i="2"/>
  <c r="AD117" i="2"/>
  <c r="AC117" i="2"/>
  <c r="AB117" i="2"/>
  <c r="AA117" i="2"/>
  <c r="Z117" i="2"/>
  <c r="Y117" i="2"/>
  <c r="X117" i="2"/>
  <c r="AF116" i="2"/>
  <c r="AE116" i="2"/>
  <c r="AD116" i="2"/>
  <c r="AC116" i="2"/>
  <c r="AB116" i="2"/>
  <c r="AA116" i="2"/>
  <c r="Z116" i="2"/>
  <c r="Y116" i="2"/>
  <c r="X116" i="2"/>
  <c r="AF115" i="2"/>
  <c r="AE115" i="2"/>
  <c r="AD115" i="2"/>
  <c r="AC115" i="2"/>
  <c r="AB115" i="2"/>
  <c r="AA115" i="2"/>
  <c r="Z115" i="2"/>
  <c r="Y115" i="2"/>
  <c r="X115" i="2"/>
  <c r="AF114" i="2"/>
  <c r="AE114" i="2"/>
  <c r="AD114" i="2"/>
  <c r="AC114" i="2"/>
  <c r="AB114" i="2"/>
  <c r="AA114" i="2"/>
  <c r="Z114" i="2"/>
  <c r="Y114" i="2"/>
  <c r="X114" i="2"/>
  <c r="AF113" i="2"/>
  <c r="AE113" i="2"/>
  <c r="AD113" i="2"/>
  <c r="AC113" i="2"/>
  <c r="AB113" i="2"/>
  <c r="AA113" i="2"/>
  <c r="Z113" i="2"/>
  <c r="Y113" i="2"/>
  <c r="X113" i="2"/>
  <c r="AF112" i="2"/>
  <c r="AE112" i="2"/>
  <c r="AD112" i="2"/>
  <c r="AC112" i="2"/>
  <c r="AB112" i="2"/>
  <c r="AA112" i="2"/>
  <c r="Z112" i="2"/>
  <c r="Y112" i="2"/>
  <c r="X112" i="2"/>
  <c r="AF111" i="2"/>
  <c r="AE111" i="2"/>
  <c r="AD111" i="2"/>
  <c r="AC111" i="2"/>
  <c r="AB111" i="2"/>
  <c r="AA111" i="2"/>
  <c r="Z111" i="2"/>
  <c r="Y111" i="2"/>
  <c r="X111" i="2"/>
  <c r="AF110" i="2"/>
  <c r="AE110" i="2"/>
  <c r="AD110" i="2"/>
  <c r="AC110" i="2"/>
  <c r="AB110" i="2"/>
  <c r="AA110" i="2"/>
  <c r="Z110" i="2"/>
  <c r="Y110" i="2"/>
  <c r="X110" i="2"/>
  <c r="AF109" i="2"/>
  <c r="AE109" i="2"/>
  <c r="AD109" i="2"/>
  <c r="AC109" i="2"/>
  <c r="AB109" i="2"/>
  <c r="AA109" i="2"/>
  <c r="Z109" i="2"/>
  <c r="Y109" i="2"/>
  <c r="X109" i="2"/>
  <c r="AF108" i="2"/>
  <c r="AE108" i="2"/>
  <c r="AD108" i="2"/>
  <c r="AC108" i="2"/>
  <c r="AB108" i="2"/>
  <c r="AA108" i="2"/>
  <c r="Z108" i="2"/>
  <c r="Y108" i="2"/>
  <c r="X108" i="2"/>
  <c r="AF107" i="2"/>
  <c r="AE107" i="2"/>
  <c r="AD107" i="2"/>
  <c r="AC107" i="2"/>
  <c r="AB107" i="2"/>
  <c r="AA107" i="2"/>
  <c r="Z107" i="2"/>
  <c r="Y107" i="2"/>
  <c r="X107" i="2"/>
  <c r="AF106" i="2"/>
  <c r="AE106" i="2"/>
  <c r="AD106" i="2"/>
  <c r="AC106" i="2"/>
  <c r="AB106" i="2"/>
  <c r="AA106" i="2"/>
  <c r="Z106" i="2"/>
  <c r="Y106" i="2"/>
  <c r="X106" i="2"/>
  <c r="AF105" i="2"/>
  <c r="AE105" i="2"/>
  <c r="AD105" i="2"/>
  <c r="AC105" i="2"/>
  <c r="AB105" i="2"/>
  <c r="AA105" i="2"/>
  <c r="Z105" i="2"/>
  <c r="Y105" i="2"/>
  <c r="X105" i="2"/>
  <c r="AF104" i="2"/>
  <c r="AE104" i="2"/>
  <c r="AD104" i="2"/>
  <c r="AC104" i="2"/>
  <c r="AB104" i="2"/>
  <c r="AA104" i="2"/>
  <c r="Z104" i="2"/>
  <c r="Y104" i="2"/>
  <c r="X104" i="2"/>
  <c r="A104" i="2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F103" i="2"/>
  <c r="AE103" i="2"/>
  <c r="AD103" i="2"/>
  <c r="AC103" i="2"/>
  <c r="AB103" i="2"/>
  <c r="AA103" i="2"/>
  <c r="Z103" i="2"/>
  <c r="Y103" i="2"/>
  <c r="X103" i="2"/>
  <c r="AF102" i="2"/>
  <c r="AE102" i="2"/>
  <c r="AD102" i="2"/>
  <c r="AC102" i="2"/>
  <c r="AB102" i="2"/>
  <c r="AA102" i="2"/>
  <c r="Z102" i="2"/>
  <c r="Y102" i="2"/>
  <c r="X102" i="2"/>
  <c r="AF101" i="2"/>
  <c r="AE101" i="2"/>
  <c r="AD101" i="2"/>
  <c r="AC101" i="2"/>
  <c r="AB101" i="2"/>
  <c r="AA101" i="2"/>
  <c r="Z101" i="2"/>
  <c r="Y101" i="2"/>
  <c r="X101" i="2"/>
  <c r="AF100" i="2"/>
  <c r="AE100" i="2"/>
  <c r="AD100" i="2"/>
  <c r="AC100" i="2"/>
  <c r="AB100" i="2"/>
  <c r="AA100" i="2"/>
  <c r="Z100" i="2"/>
  <c r="Y100" i="2"/>
  <c r="X100" i="2"/>
  <c r="AF99" i="2"/>
  <c r="AE99" i="2"/>
  <c r="AD99" i="2"/>
  <c r="AC99" i="2"/>
  <c r="AB99" i="2"/>
  <c r="AA99" i="2"/>
  <c r="Z99" i="2"/>
  <c r="Y99" i="2"/>
  <c r="X99" i="2"/>
  <c r="AF98" i="2"/>
  <c r="AE98" i="2"/>
  <c r="AD98" i="2"/>
  <c r="AC98" i="2"/>
  <c r="AB98" i="2"/>
  <c r="AA98" i="2"/>
  <c r="Z98" i="2"/>
  <c r="Y98" i="2"/>
  <c r="X98" i="2"/>
  <c r="AF97" i="2"/>
  <c r="AE97" i="2"/>
  <c r="AD97" i="2"/>
  <c r="AC97" i="2"/>
  <c r="AB97" i="2"/>
  <c r="AA97" i="2"/>
  <c r="Z97" i="2"/>
  <c r="Y97" i="2"/>
  <c r="X97" i="2"/>
  <c r="AF96" i="2"/>
  <c r="AE96" i="2"/>
  <c r="AD96" i="2"/>
  <c r="AC96" i="2"/>
  <c r="AB96" i="2"/>
  <c r="AA96" i="2"/>
  <c r="Z96" i="2"/>
  <c r="Y96" i="2"/>
  <c r="X96" i="2"/>
  <c r="AF95" i="2"/>
  <c r="AE95" i="2"/>
  <c r="AD95" i="2"/>
  <c r="AC95" i="2"/>
  <c r="AB95" i="2"/>
  <c r="AA95" i="2"/>
  <c r="Z95" i="2"/>
  <c r="Y95" i="2"/>
  <c r="X95" i="2"/>
  <c r="AF94" i="2"/>
  <c r="AE94" i="2"/>
  <c r="AD94" i="2"/>
  <c r="AC94" i="2"/>
  <c r="AB94" i="2"/>
  <c r="AA94" i="2"/>
  <c r="Z94" i="2"/>
  <c r="Y94" i="2"/>
  <c r="X94" i="2"/>
  <c r="AF93" i="2"/>
  <c r="AE93" i="2"/>
  <c r="AD93" i="2"/>
  <c r="AC93" i="2"/>
  <c r="AB93" i="2"/>
  <c r="AA93" i="2"/>
  <c r="Z93" i="2"/>
  <c r="Y93" i="2"/>
  <c r="X93" i="2"/>
  <c r="AF92" i="2"/>
  <c r="AE92" i="2"/>
  <c r="AD92" i="2"/>
  <c r="AC92" i="2"/>
  <c r="AB92" i="2"/>
  <c r="AA92" i="2"/>
  <c r="Z92" i="2"/>
  <c r="Y92" i="2"/>
  <c r="X92" i="2"/>
  <c r="AF91" i="2"/>
  <c r="AE91" i="2"/>
  <c r="AD91" i="2"/>
  <c r="AC91" i="2"/>
  <c r="AB91" i="2"/>
  <c r="AA91" i="2"/>
  <c r="Z91" i="2"/>
  <c r="Y91" i="2"/>
  <c r="X91" i="2"/>
  <c r="AF90" i="2"/>
  <c r="AE90" i="2"/>
  <c r="AD90" i="2"/>
  <c r="AC90" i="2"/>
  <c r="AB90" i="2"/>
  <c r="AA90" i="2"/>
  <c r="Z90" i="2"/>
  <c r="Y90" i="2"/>
  <c r="X90" i="2"/>
  <c r="AF89" i="2"/>
  <c r="AE89" i="2"/>
  <c r="AD89" i="2"/>
  <c r="AC89" i="2"/>
  <c r="AB89" i="2"/>
  <c r="AA89" i="2"/>
  <c r="Z89" i="2"/>
  <c r="Y89" i="2"/>
  <c r="X89" i="2"/>
  <c r="AF88" i="2"/>
  <c r="AE88" i="2"/>
  <c r="AD88" i="2"/>
  <c r="AC88" i="2"/>
  <c r="AB88" i="2"/>
  <c r="AA88" i="2"/>
  <c r="Z88" i="2"/>
  <c r="Y88" i="2"/>
  <c r="X88" i="2"/>
  <c r="AF87" i="2"/>
  <c r="AE87" i="2"/>
  <c r="AD87" i="2"/>
  <c r="AC87" i="2"/>
  <c r="AB87" i="2"/>
  <c r="AA87" i="2"/>
  <c r="Z87" i="2"/>
  <c r="Y87" i="2"/>
  <c r="X87" i="2"/>
  <c r="AF86" i="2"/>
  <c r="AE86" i="2"/>
  <c r="AD86" i="2"/>
  <c r="AC86" i="2"/>
  <c r="AB86" i="2"/>
  <c r="AA86" i="2"/>
  <c r="Z86" i="2"/>
  <c r="Y86" i="2"/>
  <c r="X86" i="2"/>
  <c r="AF85" i="2"/>
  <c r="AE85" i="2"/>
  <c r="AD85" i="2"/>
  <c r="AC85" i="2"/>
  <c r="AB85" i="2"/>
  <c r="AA85" i="2"/>
  <c r="Z85" i="2"/>
  <c r="Y85" i="2"/>
  <c r="X85" i="2"/>
  <c r="AF84" i="2"/>
  <c r="AE84" i="2"/>
  <c r="AD84" i="2"/>
  <c r="AC84" i="2"/>
  <c r="AB84" i="2"/>
  <c r="AA84" i="2"/>
  <c r="Z84" i="2"/>
  <c r="Y84" i="2"/>
  <c r="X84" i="2"/>
  <c r="AF83" i="2"/>
  <c r="AE83" i="2"/>
  <c r="AD83" i="2"/>
  <c r="AC83" i="2"/>
  <c r="AB83" i="2"/>
  <c r="AA83" i="2"/>
  <c r="Z83" i="2"/>
  <c r="Y83" i="2"/>
  <c r="X83" i="2"/>
  <c r="AF82" i="2"/>
  <c r="AE82" i="2"/>
  <c r="AD82" i="2"/>
  <c r="AC82" i="2"/>
  <c r="AB82" i="2"/>
  <c r="AA82" i="2"/>
  <c r="Z82" i="2"/>
  <c r="Y82" i="2"/>
  <c r="X82" i="2"/>
  <c r="AF81" i="2"/>
  <c r="AE81" i="2"/>
  <c r="AD81" i="2"/>
  <c r="AC81" i="2"/>
  <c r="AB81" i="2"/>
  <c r="AA81" i="2"/>
  <c r="Z81" i="2"/>
  <c r="Y81" i="2"/>
  <c r="X81" i="2"/>
  <c r="AF80" i="2"/>
  <c r="AE80" i="2"/>
  <c r="AD80" i="2"/>
  <c r="AC80" i="2"/>
  <c r="AB80" i="2"/>
  <c r="AA80" i="2"/>
  <c r="Z80" i="2"/>
  <c r="Y80" i="2"/>
  <c r="X80" i="2"/>
  <c r="AF79" i="2"/>
  <c r="AE79" i="2"/>
  <c r="AD79" i="2"/>
  <c r="AC79" i="2"/>
  <c r="AB79" i="2"/>
  <c r="AA79" i="2"/>
  <c r="Z79" i="2"/>
  <c r="Y79" i="2"/>
  <c r="X79" i="2"/>
  <c r="AF78" i="2"/>
  <c r="AE78" i="2"/>
  <c r="AD78" i="2"/>
  <c r="AC78" i="2"/>
  <c r="AB78" i="2"/>
  <c r="AA78" i="2"/>
  <c r="Z78" i="2"/>
  <c r="Y78" i="2"/>
  <c r="X78" i="2"/>
  <c r="AF77" i="2"/>
  <c r="AE77" i="2"/>
  <c r="AD77" i="2"/>
  <c r="AC77" i="2"/>
  <c r="AB77" i="2"/>
  <c r="AA77" i="2"/>
  <c r="Z77" i="2"/>
  <c r="Y77" i="2"/>
  <c r="X77" i="2"/>
  <c r="AF76" i="2"/>
  <c r="AE76" i="2"/>
  <c r="AD76" i="2"/>
  <c r="AC76" i="2"/>
  <c r="AB76" i="2"/>
  <c r="AA76" i="2"/>
  <c r="Z76" i="2"/>
  <c r="Y76" i="2"/>
  <c r="X76" i="2"/>
  <c r="AF75" i="2"/>
  <c r="AE75" i="2"/>
  <c r="AD75" i="2"/>
  <c r="AC75" i="2"/>
  <c r="AB75" i="2"/>
  <c r="AA75" i="2"/>
  <c r="Z75" i="2"/>
  <c r="Y75" i="2"/>
  <c r="X75" i="2"/>
  <c r="AF74" i="2"/>
  <c r="AE74" i="2"/>
  <c r="AD74" i="2"/>
  <c r="AC74" i="2"/>
  <c r="AB74" i="2"/>
  <c r="AA74" i="2"/>
  <c r="Z74" i="2"/>
  <c r="Y74" i="2"/>
  <c r="X74" i="2"/>
  <c r="AF73" i="2"/>
  <c r="AE73" i="2"/>
  <c r="AD73" i="2"/>
  <c r="AC73" i="2"/>
  <c r="AB73" i="2"/>
  <c r="AA73" i="2"/>
  <c r="Z73" i="2"/>
  <c r="Y73" i="2"/>
  <c r="X73" i="2"/>
  <c r="AF72" i="2"/>
  <c r="AE72" i="2"/>
  <c r="AD72" i="2"/>
  <c r="AC72" i="2"/>
  <c r="AB72" i="2"/>
  <c r="AA72" i="2"/>
  <c r="Z72" i="2"/>
  <c r="Y72" i="2"/>
  <c r="X72" i="2"/>
  <c r="AF71" i="2"/>
  <c r="AE71" i="2"/>
  <c r="AD71" i="2"/>
  <c r="AC71" i="2"/>
  <c r="AB71" i="2"/>
  <c r="AA71" i="2"/>
  <c r="Z71" i="2"/>
  <c r="Y71" i="2"/>
  <c r="X71" i="2"/>
  <c r="AF70" i="2"/>
  <c r="AE70" i="2"/>
  <c r="AD70" i="2"/>
  <c r="AC70" i="2"/>
  <c r="AB70" i="2"/>
  <c r="AA70" i="2"/>
  <c r="Z70" i="2"/>
  <c r="Y70" i="2"/>
  <c r="X70" i="2"/>
  <c r="AF69" i="2"/>
  <c r="AE69" i="2"/>
  <c r="AD69" i="2"/>
  <c r="AC69" i="2"/>
  <c r="AB69" i="2"/>
  <c r="AA69" i="2"/>
  <c r="Z69" i="2"/>
  <c r="Y69" i="2"/>
  <c r="X69" i="2"/>
  <c r="AF68" i="2"/>
  <c r="AE68" i="2"/>
  <c r="AD68" i="2"/>
  <c r="AC68" i="2"/>
  <c r="AB68" i="2"/>
  <c r="AA68" i="2"/>
  <c r="Z68" i="2"/>
  <c r="Y68" i="2"/>
  <c r="X68" i="2"/>
  <c r="AF67" i="2"/>
  <c r="AE67" i="2"/>
  <c r="AD67" i="2"/>
  <c r="AC67" i="2"/>
  <c r="AB67" i="2"/>
  <c r="AA67" i="2"/>
  <c r="Z67" i="2"/>
  <c r="Y67" i="2"/>
  <c r="X67" i="2"/>
  <c r="AF66" i="2"/>
  <c r="AE66" i="2"/>
  <c r="AD66" i="2"/>
  <c r="AC66" i="2"/>
  <c r="AB66" i="2"/>
  <c r="AA66" i="2"/>
  <c r="Z66" i="2"/>
  <c r="Y66" i="2"/>
  <c r="X66" i="2"/>
  <c r="AF65" i="2"/>
  <c r="AE65" i="2"/>
  <c r="AD65" i="2"/>
  <c r="AC65" i="2"/>
  <c r="AB65" i="2"/>
  <c r="AA65" i="2"/>
  <c r="Z65" i="2"/>
  <c r="Y65" i="2"/>
  <c r="X65" i="2"/>
  <c r="AF64" i="2"/>
  <c r="AE64" i="2"/>
  <c r="AD64" i="2"/>
  <c r="AC64" i="2"/>
  <c r="AB64" i="2"/>
  <c r="AA64" i="2"/>
  <c r="Z64" i="2"/>
  <c r="Y64" i="2"/>
  <c r="X64" i="2"/>
  <c r="AF63" i="2"/>
  <c r="AE63" i="2"/>
  <c r="AD63" i="2"/>
  <c r="AC63" i="2"/>
  <c r="AB63" i="2"/>
  <c r="AA63" i="2"/>
  <c r="Z63" i="2"/>
  <c r="Y63" i="2"/>
  <c r="X63" i="2"/>
  <c r="AF62" i="2"/>
  <c r="AE62" i="2"/>
  <c r="AD62" i="2"/>
  <c r="AC62" i="2"/>
  <c r="AB62" i="2"/>
  <c r="AA62" i="2"/>
  <c r="Z62" i="2"/>
  <c r="Y62" i="2"/>
  <c r="X62" i="2"/>
  <c r="AS61" i="2" a="1"/>
  <c r="AS64" i="2" s="1"/>
  <c r="AF61" i="2"/>
  <c r="AE61" i="2"/>
  <c r="AD61" i="2"/>
  <c r="AC61" i="2"/>
  <c r="AB61" i="2"/>
  <c r="AA61" i="2"/>
  <c r="Z61" i="2"/>
  <c r="Y61" i="2"/>
  <c r="X61" i="2"/>
  <c r="AF60" i="2"/>
  <c r="AE60" i="2"/>
  <c r="AD60" i="2"/>
  <c r="AC60" i="2"/>
  <c r="AB60" i="2"/>
  <c r="AA60" i="2"/>
  <c r="Z60" i="2"/>
  <c r="Y60" i="2"/>
  <c r="X60" i="2"/>
  <c r="AF59" i="2"/>
  <c r="AE59" i="2"/>
  <c r="AD59" i="2"/>
  <c r="AC59" i="2"/>
  <c r="AB59" i="2"/>
  <c r="AA59" i="2"/>
  <c r="Z59" i="2"/>
  <c r="Y59" i="2"/>
  <c r="X59" i="2"/>
  <c r="AF58" i="2"/>
  <c r="AE58" i="2"/>
  <c r="AD58" i="2"/>
  <c r="AC58" i="2"/>
  <c r="AB58" i="2"/>
  <c r="AA58" i="2"/>
  <c r="Z58" i="2"/>
  <c r="Y58" i="2"/>
  <c r="X58" i="2"/>
  <c r="AF57" i="2"/>
  <c r="AE57" i="2"/>
  <c r="AD57" i="2"/>
  <c r="AC57" i="2"/>
  <c r="AB57" i="2"/>
  <c r="AA57" i="2"/>
  <c r="Z57" i="2"/>
  <c r="Y57" i="2"/>
  <c r="X57" i="2"/>
  <c r="AF56" i="2"/>
  <c r="AE56" i="2"/>
  <c r="AD56" i="2"/>
  <c r="AC56" i="2"/>
  <c r="AB56" i="2"/>
  <c r="AA56" i="2"/>
  <c r="Z56" i="2"/>
  <c r="Y56" i="2"/>
  <c r="X56" i="2"/>
  <c r="AF55" i="2"/>
  <c r="AE55" i="2"/>
  <c r="AD55" i="2"/>
  <c r="AC55" i="2"/>
  <c r="AB55" i="2"/>
  <c r="AA55" i="2"/>
  <c r="Z55" i="2"/>
  <c r="Y55" i="2"/>
  <c r="X55" i="2"/>
  <c r="AF54" i="2"/>
  <c r="AE54" i="2"/>
  <c r="AD54" i="2"/>
  <c r="AC54" i="2"/>
  <c r="AB54" i="2"/>
  <c r="AA54" i="2"/>
  <c r="Z54" i="2"/>
  <c r="Y54" i="2"/>
  <c r="X54" i="2"/>
  <c r="AF53" i="2"/>
  <c r="AE53" i="2"/>
  <c r="AD53" i="2"/>
  <c r="AC53" i="2"/>
  <c r="AB53" i="2"/>
  <c r="AA53" i="2"/>
  <c r="Z53" i="2"/>
  <c r="Y53" i="2"/>
  <c r="X53" i="2"/>
  <c r="AF52" i="2"/>
  <c r="AE52" i="2"/>
  <c r="AD52" i="2"/>
  <c r="AC52" i="2"/>
  <c r="AB52" i="2"/>
  <c r="AA52" i="2"/>
  <c r="Z52" i="2"/>
  <c r="Y52" i="2"/>
  <c r="X52" i="2"/>
  <c r="AF51" i="2"/>
  <c r="AE51" i="2"/>
  <c r="AD51" i="2"/>
  <c r="AC51" i="2"/>
  <c r="AB51" i="2"/>
  <c r="AA51" i="2"/>
  <c r="Z51" i="2"/>
  <c r="Y51" i="2"/>
  <c r="X51" i="2"/>
  <c r="AF50" i="2"/>
  <c r="AE50" i="2"/>
  <c r="AD50" i="2"/>
  <c r="AC50" i="2"/>
  <c r="AB50" i="2"/>
  <c r="AA50" i="2"/>
  <c r="Z50" i="2"/>
  <c r="Y50" i="2"/>
  <c r="X50" i="2"/>
  <c r="AF49" i="2"/>
  <c r="AE49" i="2"/>
  <c r="AD49" i="2"/>
  <c r="AC49" i="2"/>
  <c r="AB49" i="2"/>
  <c r="AA49" i="2"/>
  <c r="Z49" i="2"/>
  <c r="Y49" i="2"/>
  <c r="X49" i="2"/>
  <c r="AF48" i="2"/>
  <c r="AE48" i="2"/>
  <c r="AD48" i="2"/>
  <c r="AC48" i="2"/>
  <c r="AB48" i="2"/>
  <c r="AA48" i="2"/>
  <c r="Z48" i="2"/>
  <c r="Y48" i="2"/>
  <c r="X48" i="2"/>
  <c r="AF47" i="2"/>
  <c r="AE47" i="2"/>
  <c r="AD47" i="2"/>
  <c r="AC47" i="2"/>
  <c r="AB47" i="2"/>
  <c r="AA47" i="2"/>
  <c r="Z47" i="2"/>
  <c r="Y47" i="2"/>
  <c r="X47" i="2"/>
  <c r="AF46" i="2"/>
  <c r="AE46" i="2"/>
  <c r="AD46" i="2"/>
  <c r="AC46" i="2"/>
  <c r="AB46" i="2"/>
  <c r="AA46" i="2"/>
  <c r="Z46" i="2"/>
  <c r="Y46" i="2"/>
  <c r="X46" i="2"/>
  <c r="AF45" i="2"/>
  <c r="AE45" i="2"/>
  <c r="AD45" i="2"/>
  <c r="AC45" i="2"/>
  <c r="AB45" i="2"/>
  <c r="AA45" i="2"/>
  <c r="Z45" i="2"/>
  <c r="Y45" i="2"/>
  <c r="X45" i="2"/>
  <c r="AF44" i="2"/>
  <c r="AE44" i="2"/>
  <c r="AD44" i="2"/>
  <c r="AC44" i="2"/>
  <c r="AB44" i="2"/>
  <c r="AA44" i="2"/>
  <c r="Z44" i="2"/>
  <c r="Y44" i="2"/>
  <c r="X44" i="2"/>
  <c r="AF43" i="2"/>
  <c r="AE43" i="2"/>
  <c r="AD43" i="2"/>
  <c r="AC43" i="2"/>
  <c r="AB43" i="2"/>
  <c r="AA43" i="2"/>
  <c r="Z43" i="2"/>
  <c r="Y43" i="2"/>
  <c r="X43" i="2"/>
  <c r="AF42" i="2"/>
  <c r="AE42" i="2"/>
  <c r="AD42" i="2"/>
  <c r="AC42" i="2"/>
  <c r="AB42" i="2"/>
  <c r="AA42" i="2"/>
  <c r="Z42" i="2"/>
  <c r="Y42" i="2"/>
  <c r="X42" i="2"/>
  <c r="AF41" i="2"/>
  <c r="AE41" i="2"/>
  <c r="AD41" i="2"/>
  <c r="AC41" i="2"/>
  <c r="AB41" i="2"/>
  <c r="AA41" i="2"/>
  <c r="Z41" i="2"/>
  <c r="Y41" i="2"/>
  <c r="X41" i="2"/>
  <c r="AF40" i="2"/>
  <c r="AE40" i="2"/>
  <c r="AD40" i="2"/>
  <c r="AC40" i="2"/>
  <c r="AB40" i="2"/>
  <c r="AA40" i="2"/>
  <c r="Z40" i="2"/>
  <c r="Y40" i="2"/>
  <c r="X40" i="2"/>
  <c r="AF39" i="2"/>
  <c r="AE39" i="2"/>
  <c r="AD39" i="2"/>
  <c r="AC39" i="2"/>
  <c r="AB39" i="2"/>
  <c r="AA39" i="2"/>
  <c r="Z39" i="2"/>
  <c r="Y39" i="2"/>
  <c r="X39" i="2"/>
  <c r="AF38" i="2"/>
  <c r="AE38" i="2"/>
  <c r="AD38" i="2"/>
  <c r="AC38" i="2"/>
  <c r="AB38" i="2"/>
  <c r="AA38" i="2"/>
  <c r="Z38" i="2"/>
  <c r="Y38" i="2"/>
  <c r="X38" i="2"/>
  <c r="AF37" i="2"/>
  <c r="AE37" i="2"/>
  <c r="AD37" i="2"/>
  <c r="AC37" i="2"/>
  <c r="AB37" i="2"/>
  <c r="AA37" i="2"/>
  <c r="Z37" i="2"/>
  <c r="Y37" i="2"/>
  <c r="X37" i="2"/>
  <c r="AF36" i="2"/>
  <c r="AE36" i="2"/>
  <c r="AD36" i="2"/>
  <c r="AC36" i="2"/>
  <c r="AB36" i="2"/>
  <c r="AA36" i="2"/>
  <c r="Z36" i="2"/>
  <c r="Y36" i="2"/>
  <c r="X36" i="2"/>
  <c r="AF35" i="2"/>
  <c r="AE35" i="2"/>
  <c r="AD35" i="2"/>
  <c r="AC35" i="2"/>
  <c r="AB35" i="2"/>
  <c r="AA35" i="2"/>
  <c r="Z35" i="2"/>
  <c r="Y35" i="2"/>
  <c r="X35" i="2"/>
  <c r="AF34" i="2"/>
  <c r="AE34" i="2"/>
  <c r="AD34" i="2"/>
  <c r="AC34" i="2"/>
  <c r="AB34" i="2"/>
  <c r="AA34" i="2"/>
  <c r="Z34" i="2"/>
  <c r="Y34" i="2"/>
  <c r="X34" i="2"/>
  <c r="AF33" i="2"/>
  <c r="AE33" i="2"/>
  <c r="AD33" i="2"/>
  <c r="AC33" i="2"/>
  <c r="AB33" i="2"/>
  <c r="AA33" i="2"/>
  <c r="Z33" i="2"/>
  <c r="Y33" i="2"/>
  <c r="X33" i="2"/>
  <c r="AF32" i="2"/>
  <c r="AE32" i="2"/>
  <c r="AD32" i="2"/>
  <c r="AC32" i="2"/>
  <c r="AB32" i="2"/>
  <c r="AA32" i="2"/>
  <c r="Z32" i="2"/>
  <c r="Y32" i="2"/>
  <c r="X32" i="2"/>
  <c r="AF31" i="2"/>
  <c r="AE31" i="2"/>
  <c r="AD31" i="2"/>
  <c r="AC31" i="2"/>
  <c r="AB31" i="2"/>
  <c r="AA31" i="2"/>
  <c r="Z31" i="2"/>
  <c r="Y31" i="2"/>
  <c r="X31" i="2"/>
  <c r="AF30" i="2"/>
  <c r="AE30" i="2"/>
  <c r="AD30" i="2"/>
  <c r="AC30" i="2"/>
  <c r="AB30" i="2"/>
  <c r="AA30" i="2"/>
  <c r="Z30" i="2"/>
  <c r="Y30" i="2"/>
  <c r="X30" i="2"/>
  <c r="AF29" i="2"/>
  <c r="AE29" i="2"/>
  <c r="AD29" i="2"/>
  <c r="AC29" i="2"/>
  <c r="AB29" i="2"/>
  <c r="AA29" i="2"/>
  <c r="Z29" i="2"/>
  <c r="Y29" i="2"/>
  <c r="X29" i="2"/>
  <c r="AF28" i="2"/>
  <c r="AE28" i="2"/>
  <c r="AD28" i="2"/>
  <c r="AC28" i="2"/>
  <c r="AB28" i="2"/>
  <c r="AA28" i="2"/>
  <c r="Z28" i="2"/>
  <c r="Y28" i="2"/>
  <c r="X28" i="2"/>
  <c r="AF27" i="2"/>
  <c r="AE27" i="2"/>
  <c r="AD27" i="2"/>
  <c r="AC27" i="2"/>
  <c r="AB27" i="2"/>
  <c r="AA27" i="2"/>
  <c r="Z27" i="2"/>
  <c r="Y27" i="2"/>
  <c r="X27" i="2"/>
  <c r="AF26" i="2"/>
  <c r="AE26" i="2"/>
  <c r="AD26" i="2"/>
  <c r="AC26" i="2"/>
  <c r="AB26" i="2"/>
  <c r="AA26" i="2"/>
  <c r="Z26" i="2"/>
  <c r="Y26" i="2"/>
  <c r="X26" i="2"/>
  <c r="AF25" i="2"/>
  <c r="AE25" i="2"/>
  <c r="AD25" i="2"/>
  <c r="AC25" i="2"/>
  <c r="AB25" i="2"/>
  <c r="AA25" i="2"/>
  <c r="Z25" i="2"/>
  <c r="Y25" i="2"/>
  <c r="X25" i="2"/>
  <c r="AF24" i="2"/>
  <c r="AE24" i="2"/>
  <c r="AD24" i="2"/>
  <c r="AC24" i="2"/>
  <c r="AB24" i="2"/>
  <c r="AA24" i="2"/>
  <c r="Z24" i="2"/>
  <c r="Y24" i="2"/>
  <c r="X24" i="2"/>
  <c r="AF23" i="2"/>
  <c r="AE23" i="2"/>
  <c r="AD23" i="2"/>
  <c r="AC23" i="2"/>
  <c r="AB23" i="2"/>
  <c r="AA23" i="2"/>
  <c r="Z23" i="2"/>
  <c r="Y23" i="2"/>
  <c r="X23" i="2"/>
  <c r="AF22" i="2"/>
  <c r="AE22" i="2"/>
  <c r="AD22" i="2"/>
  <c r="AC22" i="2"/>
  <c r="AB22" i="2"/>
  <c r="AA22" i="2"/>
  <c r="Z22" i="2"/>
  <c r="Y22" i="2"/>
  <c r="X22" i="2"/>
  <c r="AF21" i="2"/>
  <c r="AE21" i="2"/>
  <c r="AD21" i="2"/>
  <c r="AC21" i="2"/>
  <c r="AB21" i="2"/>
  <c r="AA21" i="2"/>
  <c r="Z21" i="2"/>
  <c r="Y21" i="2"/>
  <c r="X21" i="2"/>
  <c r="AF20" i="2"/>
  <c r="AE20" i="2"/>
  <c r="AD20" i="2"/>
  <c r="AC20" i="2"/>
  <c r="AB20" i="2"/>
  <c r="AA20" i="2"/>
  <c r="Z20" i="2"/>
  <c r="Y20" i="2"/>
  <c r="X20" i="2"/>
  <c r="AF19" i="2"/>
  <c r="AE19" i="2"/>
  <c r="AD19" i="2"/>
  <c r="AC19" i="2"/>
  <c r="AB19" i="2"/>
  <c r="AA19" i="2"/>
  <c r="Z19" i="2"/>
  <c r="Y19" i="2"/>
  <c r="X19" i="2"/>
  <c r="AF18" i="2"/>
  <c r="AE18" i="2"/>
  <c r="AD18" i="2"/>
  <c r="AC18" i="2"/>
  <c r="AB18" i="2"/>
  <c r="AA18" i="2"/>
  <c r="Z18" i="2"/>
  <c r="Y18" i="2"/>
  <c r="X18" i="2"/>
  <c r="AF17" i="2"/>
  <c r="AE17" i="2"/>
  <c r="AD17" i="2"/>
  <c r="AC17" i="2"/>
  <c r="AB17" i="2"/>
  <c r="AA17" i="2"/>
  <c r="Z17" i="2"/>
  <c r="Y17" i="2"/>
  <c r="X17" i="2"/>
  <c r="AF16" i="2"/>
  <c r="AE16" i="2"/>
  <c r="AD16" i="2"/>
  <c r="AC16" i="2"/>
  <c r="AB16" i="2"/>
  <c r="AA16" i="2"/>
  <c r="Z16" i="2"/>
  <c r="Y16" i="2"/>
  <c r="X16" i="2"/>
  <c r="AF15" i="2"/>
  <c r="AE15" i="2"/>
  <c r="AD15" i="2"/>
  <c r="AC15" i="2"/>
  <c r="AB15" i="2"/>
  <c r="AA15" i="2"/>
  <c r="Z15" i="2"/>
  <c r="Y15" i="2"/>
  <c r="X15" i="2"/>
  <c r="AF14" i="2"/>
  <c r="AE14" i="2"/>
  <c r="AD14" i="2"/>
  <c r="AC14" i="2"/>
  <c r="AB14" i="2"/>
  <c r="AA14" i="2"/>
  <c r="Z14" i="2"/>
  <c r="Y14" i="2"/>
  <c r="X14" i="2"/>
  <c r="AF13" i="2"/>
  <c r="AE13" i="2"/>
  <c r="AD13" i="2"/>
  <c r="AC13" i="2"/>
  <c r="AB13" i="2"/>
  <c r="AA13" i="2"/>
  <c r="Z13" i="2"/>
  <c r="Y13" i="2"/>
  <c r="X13" i="2"/>
  <c r="AF12" i="2"/>
  <c r="AE12" i="2"/>
  <c r="AD12" i="2"/>
  <c r="AC12" i="2"/>
  <c r="AB12" i="2"/>
  <c r="AA12" i="2"/>
  <c r="Z12" i="2"/>
  <c r="Y12" i="2"/>
  <c r="X12" i="2"/>
  <c r="AF11" i="2"/>
  <c r="AE11" i="2"/>
  <c r="AD11" i="2"/>
  <c r="AC11" i="2"/>
  <c r="AB11" i="2"/>
  <c r="AA11" i="2"/>
  <c r="Z11" i="2"/>
  <c r="Y11" i="2"/>
  <c r="X11" i="2"/>
  <c r="AF10" i="2"/>
  <c r="AE10" i="2"/>
  <c r="AD10" i="2"/>
  <c r="AC10" i="2"/>
  <c r="AB10" i="2"/>
  <c r="AA10" i="2"/>
  <c r="Z10" i="2"/>
  <c r="Y10" i="2"/>
  <c r="X10" i="2"/>
  <c r="AF9" i="2"/>
  <c r="AE9" i="2"/>
  <c r="AD9" i="2"/>
  <c r="AC9" i="2"/>
  <c r="AB9" i="2"/>
  <c r="AA9" i="2"/>
  <c r="Z9" i="2"/>
  <c r="Y9" i="2"/>
  <c r="X9" i="2"/>
  <c r="AF8" i="2"/>
  <c r="AE8" i="2"/>
  <c r="AD8" i="2"/>
  <c r="AC8" i="2"/>
  <c r="AB8" i="2"/>
  <c r="AA8" i="2"/>
  <c r="Z8" i="2"/>
  <c r="Y8" i="2"/>
  <c r="X8" i="2"/>
  <c r="AF7" i="2"/>
  <c r="AE7" i="2"/>
  <c r="AD7" i="2"/>
  <c r="AC7" i="2"/>
  <c r="AB7" i="2"/>
  <c r="AA7" i="2"/>
  <c r="Z7" i="2"/>
  <c r="Y7" i="2"/>
  <c r="X7" i="2"/>
  <c r="AF6" i="2"/>
  <c r="AE6" i="2"/>
  <c r="AD6" i="2"/>
  <c r="AC6" i="2"/>
  <c r="AB6" i="2"/>
  <c r="AA6" i="2"/>
  <c r="Z6" i="2"/>
  <c r="Y6" i="2"/>
  <c r="X6" i="2"/>
  <c r="W6" i="2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AF5" i="2"/>
  <c r="AE5" i="2"/>
  <c r="AD5" i="2"/>
  <c r="AC5" i="2"/>
  <c r="AB5" i="2"/>
  <c r="AA5" i="2"/>
  <c r="Z5" i="2"/>
  <c r="Y5" i="2"/>
  <c r="X5" i="2"/>
  <c r="W5" i="2"/>
  <c r="AF4" i="2"/>
  <c r="AE4" i="2"/>
  <c r="AD4" i="2"/>
  <c r="AC4" i="2"/>
  <c r="AB4" i="2"/>
  <c r="AA4" i="2"/>
  <c r="Z4" i="2"/>
  <c r="Y4" i="2"/>
  <c r="X4" i="2"/>
  <c r="AI18" i="2" a="1"/>
  <c r="AI4" i="2" a="1"/>
  <c r="AP12" i="2" l="1"/>
  <c r="AL12" i="2"/>
  <c r="AQ11" i="2"/>
  <c r="AM11" i="2"/>
  <c r="AI11" i="2"/>
  <c r="AN10" i="2"/>
  <c r="AJ10" i="2"/>
  <c r="AO9" i="2"/>
  <c r="AK9" i="2"/>
  <c r="AP8" i="2"/>
  <c r="AL8" i="2"/>
  <c r="AQ7" i="2"/>
  <c r="AM7" i="2"/>
  <c r="AI7" i="2"/>
  <c r="AN6" i="2"/>
  <c r="AJ6" i="2"/>
  <c r="AO5" i="2"/>
  <c r="AK5" i="2"/>
  <c r="AP4" i="2"/>
  <c r="AL4" i="2"/>
  <c r="AO12" i="2"/>
  <c r="AK12" i="2"/>
  <c r="AP11" i="2"/>
  <c r="AL11" i="2"/>
  <c r="AQ10" i="2"/>
  <c r="AM10" i="2"/>
  <c r="AI10" i="2"/>
  <c r="AN9" i="2"/>
  <c r="AJ9" i="2"/>
  <c r="AO8" i="2"/>
  <c r="AK8" i="2"/>
  <c r="AP7" i="2"/>
  <c r="AL7" i="2"/>
  <c r="AQ6" i="2"/>
  <c r="AM6" i="2"/>
  <c r="AI6" i="2"/>
  <c r="AN5" i="2"/>
  <c r="AJ5" i="2"/>
  <c r="AO4" i="2"/>
  <c r="AK4" i="2"/>
  <c r="AN12" i="2"/>
  <c r="AJ12" i="2"/>
  <c r="AO11" i="2"/>
  <c r="AK11" i="2"/>
  <c r="AP10" i="2"/>
  <c r="AL10" i="2"/>
  <c r="AQ9" i="2"/>
  <c r="AM9" i="2"/>
  <c r="AI9" i="2"/>
  <c r="AN8" i="2"/>
  <c r="AJ8" i="2"/>
  <c r="AO7" i="2"/>
  <c r="AK7" i="2"/>
  <c r="AP6" i="2"/>
  <c r="AL6" i="2"/>
  <c r="AQ5" i="2"/>
  <c r="AM5" i="2"/>
  <c r="AI5" i="2"/>
  <c r="AN4" i="2"/>
  <c r="AJ4" i="2"/>
  <c r="AQ12" i="2"/>
  <c r="AM12" i="2"/>
  <c r="AI12" i="2"/>
  <c r="AN11" i="2"/>
  <c r="AJ11" i="2"/>
  <c r="AO10" i="2"/>
  <c r="AK10" i="2"/>
  <c r="AP9" i="2"/>
  <c r="AL9" i="2"/>
  <c r="AQ8" i="2"/>
  <c r="AM8" i="2"/>
  <c r="AI8" i="2"/>
  <c r="AN7" i="2"/>
  <c r="AJ7" i="2"/>
  <c r="AO6" i="2"/>
  <c r="AK6" i="2"/>
  <c r="AP5" i="2"/>
  <c r="AL5" i="2"/>
  <c r="AQ4" i="2"/>
  <c r="AM4" i="2"/>
  <c r="AI4" i="2"/>
  <c r="AJ14" i="2" s="1"/>
  <c r="U31" i="2"/>
  <c r="T31" i="2"/>
  <c r="S31" i="2"/>
  <c r="AO27" i="2"/>
  <c r="AK27" i="2"/>
  <c r="AO40" i="2" s="1"/>
  <c r="AP26" i="2"/>
  <c r="AL26" i="2"/>
  <c r="AP39" i="2" s="1"/>
  <c r="AQ25" i="2"/>
  <c r="AM25" i="2"/>
  <c r="AI25" i="2"/>
  <c r="AM38" i="2" s="1"/>
  <c r="AQ38" i="2" s="1"/>
  <c r="AN24" i="2"/>
  <c r="AJ24" i="2"/>
  <c r="AN37" i="2" s="1"/>
  <c r="AO23" i="2"/>
  <c r="AK23" i="2"/>
  <c r="AO36" i="2" s="1"/>
  <c r="AP22" i="2"/>
  <c r="AL22" i="2"/>
  <c r="AP35" i="2" s="1"/>
  <c r="AQ21" i="2"/>
  <c r="AM21" i="2"/>
  <c r="AI21" i="2"/>
  <c r="AM34" i="2" s="1"/>
  <c r="AQ34" i="2" s="1"/>
  <c r="AN20" i="2"/>
  <c r="AJ20" i="2"/>
  <c r="AN33" i="2" s="1"/>
  <c r="AO19" i="2"/>
  <c r="AK19" i="2"/>
  <c r="AO32" i="2" s="1"/>
  <c r="AP18" i="2"/>
  <c r="AL18" i="2"/>
  <c r="AP31" i="2" s="1"/>
  <c r="AN27" i="2"/>
  <c r="AJ27" i="2"/>
  <c r="AN40" i="2" s="1"/>
  <c r="AO26" i="2"/>
  <c r="AK26" i="2"/>
  <c r="AO39" i="2" s="1"/>
  <c r="AP25" i="2"/>
  <c r="AL25" i="2"/>
  <c r="AP38" i="2" s="1"/>
  <c r="AQ24" i="2"/>
  <c r="AM24" i="2"/>
  <c r="AI24" i="2"/>
  <c r="AM37" i="2" s="1"/>
  <c r="AQ37" i="2" s="1"/>
  <c r="AN23" i="2"/>
  <c r="AJ23" i="2"/>
  <c r="AN36" i="2" s="1"/>
  <c r="AO22" i="2"/>
  <c r="AK22" i="2"/>
  <c r="AO35" i="2" s="1"/>
  <c r="AP21" i="2"/>
  <c r="AL21" i="2"/>
  <c r="AP34" i="2" s="1"/>
  <c r="AQ20" i="2"/>
  <c r="AM20" i="2"/>
  <c r="AI20" i="2"/>
  <c r="AM33" i="2" s="1"/>
  <c r="AQ33" i="2" s="1"/>
  <c r="AN19" i="2"/>
  <c r="AJ19" i="2"/>
  <c r="AN32" i="2" s="1"/>
  <c r="AO18" i="2"/>
  <c r="AK18" i="2"/>
  <c r="AO31" i="2" s="1"/>
  <c r="AP27" i="2"/>
  <c r="AQ26" i="2"/>
  <c r="AI26" i="2"/>
  <c r="AM39" i="2" s="1"/>
  <c r="AQ39" i="2" s="1"/>
  <c r="AJ25" i="2"/>
  <c r="AN38" i="2" s="1"/>
  <c r="AK24" i="2"/>
  <c r="AO37" i="2" s="1"/>
  <c r="AL23" i="2"/>
  <c r="AP36" i="2" s="1"/>
  <c r="AM22" i="2"/>
  <c r="AN21" i="2"/>
  <c r="AO20" i="2"/>
  <c r="AP19" i="2"/>
  <c r="AQ18" i="2"/>
  <c r="AI18" i="2"/>
  <c r="AM27" i="2"/>
  <c r="AN26" i="2"/>
  <c r="AO25" i="2"/>
  <c r="AP24" i="2"/>
  <c r="AQ23" i="2"/>
  <c r="AI23" i="2"/>
  <c r="AM36" i="2" s="1"/>
  <c r="AQ36" i="2" s="1"/>
  <c r="AJ22" i="2"/>
  <c r="AN35" i="2" s="1"/>
  <c r="AK21" i="2"/>
  <c r="AO34" i="2" s="1"/>
  <c r="AL20" i="2"/>
  <c r="AP33" i="2" s="1"/>
  <c r="AM19" i="2"/>
  <c r="AN18" i="2"/>
  <c r="AL27" i="2"/>
  <c r="AP40" i="2" s="1"/>
  <c r="AM26" i="2"/>
  <c r="AN25" i="2"/>
  <c r="AO24" i="2"/>
  <c r="AP23" i="2"/>
  <c r="AQ22" i="2"/>
  <c r="AI22" i="2"/>
  <c r="AM35" i="2" s="1"/>
  <c r="AQ35" i="2" s="1"/>
  <c r="AJ21" i="2"/>
  <c r="AN34" i="2" s="1"/>
  <c r="AK20" i="2"/>
  <c r="AO33" i="2" s="1"/>
  <c r="AL19" i="2"/>
  <c r="AP32" i="2" s="1"/>
  <c r="AM18" i="2"/>
  <c r="AQ27" i="2"/>
  <c r="AI27" i="2"/>
  <c r="AM40" i="2" s="1"/>
  <c r="AQ40" i="2" s="1"/>
  <c r="AJ26" i="2"/>
  <c r="AN39" i="2" s="1"/>
  <c r="AK25" i="2"/>
  <c r="AO38" i="2" s="1"/>
  <c r="AL24" i="2"/>
  <c r="AP37" i="2" s="1"/>
  <c r="AM23" i="2"/>
  <c r="AN22" i="2"/>
  <c r="AO21" i="2"/>
  <c r="AP20" i="2"/>
  <c r="AQ19" i="2"/>
  <c r="AI19" i="2"/>
  <c r="AM32" i="2" s="1"/>
  <c r="AQ32" i="2" s="1"/>
  <c r="AJ18" i="2"/>
  <c r="AN31" i="2" s="1"/>
  <c r="AS63" i="2"/>
  <c r="AS68" i="2"/>
  <c r="AS69" i="2"/>
  <c r="AS65" i="2"/>
  <c r="AS61" i="2"/>
  <c r="AS66" i="2"/>
  <c r="AS62" i="2"/>
  <c r="AS67" i="2"/>
  <c r="Z119" i="2"/>
  <c r="AD119" i="2"/>
  <c r="P64" i="2" l="1"/>
  <c r="U37" i="2"/>
  <c r="P63" i="2"/>
  <c r="U36" i="2"/>
  <c r="O65" i="2"/>
  <c r="T38" i="2"/>
  <c r="R33" i="2"/>
  <c r="M60" i="2"/>
  <c r="P66" i="2"/>
  <c r="U39" i="2"/>
  <c r="AU61" i="2" a="1"/>
  <c r="AH32" i="2" a="1"/>
  <c r="AM31" i="2"/>
  <c r="N63" i="2"/>
  <c r="S36" i="2"/>
  <c r="N62" i="2"/>
  <c r="S35" i="2"/>
  <c r="P59" i="2"/>
  <c r="U32" i="2"/>
  <c r="M64" i="2"/>
  <c r="R37" i="2"/>
  <c r="O61" i="2"/>
  <c r="T34" i="2"/>
  <c r="R39" i="2"/>
  <c r="M66" i="2"/>
  <c r="N60" i="2"/>
  <c r="S33" i="2"/>
  <c r="O67" i="2"/>
  <c r="T40" i="2"/>
  <c r="AI61" i="2" a="1"/>
  <c r="M59" i="2"/>
  <c r="P61" i="2"/>
  <c r="U34" i="2"/>
  <c r="N66" i="2"/>
  <c r="S39" i="2"/>
  <c r="R31" i="2"/>
  <c r="P60" i="2"/>
  <c r="U33" i="2"/>
  <c r="N65" i="2"/>
  <c r="S38" i="2"/>
  <c r="O62" i="2"/>
  <c r="T35" i="2"/>
  <c r="M67" i="2"/>
  <c r="R40" i="2"/>
  <c r="T37" i="2"/>
  <c r="O64" i="2"/>
  <c r="P62" i="2"/>
  <c r="U35" i="2"/>
  <c r="N64" i="2"/>
  <c r="S37" i="2"/>
  <c r="R35" i="2"/>
  <c r="M62" i="2"/>
  <c r="N67" i="2"/>
  <c r="S40" i="2"/>
  <c r="O59" i="2"/>
  <c r="T32" i="2"/>
  <c r="R34" i="2"/>
  <c r="M61" i="2"/>
  <c r="AI3" i="2" a="1"/>
  <c r="O60" i="2"/>
  <c r="T33" i="2"/>
  <c r="P67" i="2"/>
  <c r="U40" i="2"/>
  <c r="N59" i="2"/>
  <c r="S32" i="2"/>
  <c r="O66" i="2"/>
  <c r="T39" i="2"/>
  <c r="N61" i="2"/>
  <c r="S34" i="2"/>
  <c r="M63" i="2"/>
  <c r="R36" i="2"/>
  <c r="P65" i="2"/>
  <c r="U38" i="2"/>
  <c r="O63" i="2"/>
  <c r="T36" i="2"/>
  <c r="M65" i="2"/>
  <c r="R38" i="2"/>
  <c r="AH40" i="2" l="1"/>
  <c r="AH36" i="2"/>
  <c r="AH32" i="2"/>
  <c r="AH37" i="2"/>
  <c r="AH35" i="2"/>
  <c r="AH39" i="2"/>
  <c r="AH34" i="2"/>
  <c r="AH38" i="2"/>
  <c r="AH33" i="2"/>
  <c r="AU67" i="2"/>
  <c r="AU63" i="2"/>
  <c r="AU68" i="2"/>
  <c r="AU62" i="2"/>
  <c r="AU66" i="2"/>
  <c r="AU61" i="2"/>
  <c r="AU65" i="2"/>
  <c r="AU69" i="2"/>
  <c r="AU64" i="2"/>
  <c r="AO69" i="2"/>
  <c r="AK69" i="2"/>
  <c r="AP68" i="2"/>
  <c r="AL68" i="2"/>
  <c r="AQ67" i="2"/>
  <c r="AM67" i="2"/>
  <c r="AI67" i="2"/>
  <c r="AN66" i="2"/>
  <c r="AJ66" i="2"/>
  <c r="AO65" i="2"/>
  <c r="AK65" i="2"/>
  <c r="AP64" i="2"/>
  <c r="AN69" i="2"/>
  <c r="AI69" i="2"/>
  <c r="AM68" i="2"/>
  <c r="AP67" i="2"/>
  <c r="AK67" i="2"/>
  <c r="AO66" i="2"/>
  <c r="AI66" i="2"/>
  <c r="AM65" i="2"/>
  <c r="AQ64" i="2"/>
  <c r="AL64" i="2"/>
  <c r="AQ63" i="2"/>
  <c r="AM63" i="2"/>
  <c r="AI63" i="2"/>
  <c r="AN62" i="2"/>
  <c r="AJ62" i="2"/>
  <c r="AO61" i="2"/>
  <c r="AK61" i="2"/>
  <c r="AQ69" i="2"/>
  <c r="AL69" i="2"/>
  <c r="AO68" i="2"/>
  <c r="AJ68" i="2"/>
  <c r="AN67" i="2"/>
  <c r="AQ66" i="2"/>
  <c r="AL66" i="2"/>
  <c r="AP65" i="2"/>
  <c r="AJ65" i="2"/>
  <c r="AN64" i="2"/>
  <c r="AJ64" i="2"/>
  <c r="AO63" i="2"/>
  <c r="AK63" i="2"/>
  <c r="AP62" i="2"/>
  <c r="AL62" i="2"/>
  <c r="AQ61" i="2"/>
  <c r="AM61" i="2"/>
  <c r="AI61" i="2"/>
  <c r="AP69" i="2"/>
  <c r="AJ69" i="2"/>
  <c r="AN68" i="2"/>
  <c r="AI68" i="2"/>
  <c r="AL67" i="2"/>
  <c r="AP66" i="2"/>
  <c r="AK66" i="2"/>
  <c r="AN65" i="2"/>
  <c r="AI65" i="2"/>
  <c r="AM64" i="2"/>
  <c r="AI64" i="2"/>
  <c r="AN63" i="2"/>
  <c r="AJ63" i="2"/>
  <c r="AO62" i="2"/>
  <c r="AK62" i="2"/>
  <c r="AP61" i="2"/>
  <c r="AL61" i="2"/>
  <c r="AM69" i="2"/>
  <c r="AJ67" i="2"/>
  <c r="AO64" i="2"/>
  <c r="AQ62" i="2"/>
  <c r="AJ61" i="2"/>
  <c r="AQ68" i="2"/>
  <c r="AM66" i="2"/>
  <c r="AK64" i="2"/>
  <c r="AM62" i="2"/>
  <c r="AK68" i="2"/>
  <c r="AQ65" i="2"/>
  <c r="AP63" i="2"/>
  <c r="AI62" i="2"/>
  <c r="AO67" i="2"/>
  <c r="AL65" i="2"/>
  <c r="AL63" i="2"/>
  <c r="AN61" i="2"/>
  <c r="Q34" i="2"/>
  <c r="Q37" i="2"/>
  <c r="Q33" i="2"/>
  <c r="Q40" i="2"/>
  <c r="Q36" i="2"/>
  <c r="Q35" i="2"/>
  <c r="Q38" i="2"/>
  <c r="Q39" i="2"/>
  <c r="AI3" i="2"/>
  <c r="AP3" i="2"/>
  <c r="AL3" i="2"/>
  <c r="AQ3" i="2"/>
  <c r="AO3" i="2"/>
  <c r="AK3" i="2"/>
  <c r="AM3" i="2"/>
  <c r="AN3" i="2"/>
  <c r="AJ3" i="2"/>
  <c r="M41" i="2" l="1"/>
  <c r="O32" i="2" s="1"/>
  <c r="AI41" i="2"/>
  <c r="AI37" i="2" s="1"/>
  <c r="Q32" i="2"/>
  <c r="L59" i="2" a="1"/>
  <c r="L19" i="2" a="1"/>
  <c r="AH4" i="2" a="1"/>
  <c r="AI87" i="2" a="1"/>
  <c r="AW61" i="2" a="1"/>
  <c r="AN74" i="2" a="1"/>
  <c r="N39" i="2" l="1"/>
  <c r="N38" i="2"/>
  <c r="N35" i="2"/>
  <c r="N33" i="2"/>
  <c r="N36" i="2"/>
  <c r="N40" i="2"/>
  <c r="N37" i="2"/>
  <c r="AI33" i="2"/>
  <c r="N34" i="2"/>
  <c r="AI39" i="2"/>
  <c r="AI38" i="2"/>
  <c r="AI34" i="2"/>
  <c r="AI40" i="2"/>
  <c r="AI35" i="2"/>
  <c r="AI36" i="2"/>
  <c r="AI32" i="2"/>
  <c r="AJ32" i="2" s="1"/>
  <c r="AW69" i="2"/>
  <c r="AW65" i="2"/>
  <c r="AW61" i="2"/>
  <c r="AW68" i="2"/>
  <c r="AW63" i="2"/>
  <c r="AW67" i="2"/>
  <c r="AW62" i="2"/>
  <c r="AW66" i="2"/>
  <c r="AW64" i="2"/>
  <c r="L65" i="2"/>
  <c r="L61" i="2"/>
  <c r="L67" i="2"/>
  <c r="L63" i="2"/>
  <c r="L59" i="2"/>
  <c r="L66" i="2"/>
  <c r="L62" i="2"/>
  <c r="L64" i="2"/>
  <c r="L60" i="2"/>
  <c r="AP95" i="2"/>
  <c r="AL95" i="2"/>
  <c r="AQ94" i="2"/>
  <c r="AM94" i="2"/>
  <c r="AI94" i="2"/>
  <c r="AN93" i="2"/>
  <c r="AJ93" i="2"/>
  <c r="AO92" i="2"/>
  <c r="AK92" i="2"/>
  <c r="AP91" i="2"/>
  <c r="AL91" i="2"/>
  <c r="AQ90" i="2"/>
  <c r="AM90" i="2"/>
  <c r="AI90" i="2"/>
  <c r="AN89" i="2"/>
  <c r="AJ89" i="2"/>
  <c r="AO88" i="2"/>
  <c r="AK88" i="2"/>
  <c r="AP87" i="2"/>
  <c r="AL87" i="2"/>
  <c r="AO95" i="2"/>
  <c r="AK95" i="2"/>
  <c r="AP94" i="2"/>
  <c r="AL94" i="2"/>
  <c r="AQ93" i="2"/>
  <c r="AM93" i="2"/>
  <c r="AI93" i="2"/>
  <c r="AN92" i="2"/>
  <c r="AJ92" i="2"/>
  <c r="AO91" i="2"/>
  <c r="AK91" i="2"/>
  <c r="AP90" i="2"/>
  <c r="AL90" i="2"/>
  <c r="AQ89" i="2"/>
  <c r="AM89" i="2"/>
  <c r="AI89" i="2"/>
  <c r="AN88" i="2"/>
  <c r="AJ88" i="2"/>
  <c r="AO87" i="2"/>
  <c r="AK87" i="2"/>
  <c r="AN95" i="2"/>
  <c r="AJ95" i="2"/>
  <c r="AO94" i="2"/>
  <c r="AK94" i="2"/>
  <c r="AP93" i="2"/>
  <c r="AL93" i="2"/>
  <c r="AQ92" i="2"/>
  <c r="AM92" i="2"/>
  <c r="AI92" i="2"/>
  <c r="AN91" i="2"/>
  <c r="AJ91" i="2"/>
  <c r="AO90" i="2"/>
  <c r="AK90" i="2"/>
  <c r="AP89" i="2"/>
  <c r="AL89" i="2"/>
  <c r="AQ88" i="2"/>
  <c r="AM88" i="2"/>
  <c r="AI88" i="2"/>
  <c r="AN87" i="2"/>
  <c r="AJ87" i="2"/>
  <c r="AQ95" i="2"/>
  <c r="AM95" i="2"/>
  <c r="AI95" i="2"/>
  <c r="AN94" i="2"/>
  <c r="AJ94" i="2"/>
  <c r="AO93" i="2"/>
  <c r="AK93" i="2"/>
  <c r="AP92" i="2"/>
  <c r="AL92" i="2"/>
  <c r="AQ91" i="2"/>
  <c r="AM91" i="2"/>
  <c r="AI91" i="2"/>
  <c r="AN90" i="2"/>
  <c r="AJ90" i="2"/>
  <c r="AO89" i="2"/>
  <c r="AK89" i="2"/>
  <c r="AP88" i="2"/>
  <c r="AL88" i="2"/>
  <c r="AQ87" i="2"/>
  <c r="AM87" i="2"/>
  <c r="AI87" i="2"/>
  <c r="O33" i="2"/>
  <c r="AP82" i="2"/>
  <c r="AP81" i="2"/>
  <c r="AP80" i="2"/>
  <c r="AP79" i="2"/>
  <c r="AP78" i="2"/>
  <c r="AP77" i="2"/>
  <c r="AP76" i="2"/>
  <c r="AP75" i="2"/>
  <c r="AP74" i="2"/>
  <c r="AN82" i="2"/>
  <c r="AN81" i="2"/>
  <c r="AN80" i="2"/>
  <c r="AN79" i="2"/>
  <c r="AN78" i="2"/>
  <c r="AN77" i="2"/>
  <c r="AN76" i="2"/>
  <c r="AN75" i="2"/>
  <c r="AN74" i="2"/>
  <c r="AO81" i="2"/>
  <c r="AO79" i="2"/>
  <c r="AO77" i="2"/>
  <c r="AO75" i="2"/>
  <c r="AQ82" i="2"/>
  <c r="AQ80" i="2"/>
  <c r="AQ78" i="2"/>
  <c r="AQ76" i="2"/>
  <c r="AQ74" i="2"/>
  <c r="AO82" i="2"/>
  <c r="AO80" i="2"/>
  <c r="AO78" i="2"/>
  <c r="AO76" i="2"/>
  <c r="AO74" i="2"/>
  <c r="AQ81" i="2"/>
  <c r="AQ79" i="2"/>
  <c r="AQ77" i="2"/>
  <c r="AQ75" i="2"/>
  <c r="L27" i="2"/>
  <c r="L23" i="2"/>
  <c r="L19" i="2"/>
  <c r="L26" i="2"/>
  <c r="L22" i="2"/>
  <c r="L24" i="2"/>
  <c r="L21" i="2"/>
  <c r="L20" i="2"/>
  <c r="L25" i="2"/>
  <c r="AH12" i="2"/>
  <c r="AL40" i="2" s="1"/>
  <c r="AH8" i="2"/>
  <c r="AL36" i="2" s="1"/>
  <c r="AH4" i="2"/>
  <c r="AH11" i="2"/>
  <c r="AL39" i="2" s="1"/>
  <c r="AH7" i="2"/>
  <c r="AL35" i="2" s="1"/>
  <c r="AH9" i="2"/>
  <c r="AL37" i="2" s="1"/>
  <c r="AH5" i="2"/>
  <c r="AL33" i="2" s="1"/>
  <c r="AH10" i="2"/>
  <c r="AL38" i="2" s="1"/>
  <c r="AH6" i="2"/>
  <c r="AL34" i="2" s="1"/>
  <c r="AJ33" i="2" l="1"/>
  <c r="AJ34" i="2" s="1"/>
  <c r="AJ35" i="2" s="1"/>
  <c r="AJ36" i="2" s="1"/>
  <c r="AJ37" i="2" s="1"/>
  <c r="AJ38" i="2" s="1"/>
  <c r="AJ39" i="2" s="1"/>
  <c r="AJ40" i="2" s="1"/>
  <c r="O34" i="2"/>
  <c r="O35" i="2" s="1"/>
  <c r="O36" i="2" s="1"/>
  <c r="O37" i="2" s="1"/>
  <c r="O38" i="2" s="1"/>
  <c r="O39" i="2" s="1"/>
  <c r="O40" i="2" s="1"/>
  <c r="AS87" i="2" a="1"/>
  <c r="AS74" i="2" a="1"/>
  <c r="AH19" i="2" a="1"/>
  <c r="AL32" i="2"/>
  <c r="AS75" i="2" l="1"/>
  <c r="AS77" i="2"/>
  <c r="AS74" i="2"/>
  <c r="AS76" i="2"/>
  <c r="AS92" i="2"/>
  <c r="AS88" i="2"/>
  <c r="AS95" i="2"/>
  <c r="AS91" i="2"/>
  <c r="AS87" i="2"/>
  <c r="AS94" i="2"/>
  <c r="AS90" i="2"/>
  <c r="AS93" i="2"/>
  <c r="AS89" i="2"/>
  <c r="AH27" i="2"/>
  <c r="AH23" i="2"/>
  <c r="AH19" i="2"/>
  <c r="AH26" i="2"/>
  <c r="AH22" i="2"/>
  <c r="AH20" i="2"/>
  <c r="AH25" i="2"/>
  <c r="AH24" i="2"/>
  <c r="AH21" i="2"/>
  <c r="AU74" i="2" l="1" a="1"/>
  <c r="AU82" i="2" s="1"/>
  <c r="AU87" i="2" a="1"/>
  <c r="AU89" i="2" s="1"/>
  <c r="AU79" i="2" l="1"/>
  <c r="AU80" i="2"/>
  <c r="AU81" i="2"/>
  <c r="AU74" i="2"/>
  <c r="AU76" i="2"/>
  <c r="AU78" i="2"/>
  <c r="AU95" i="2"/>
  <c r="AU75" i="2"/>
  <c r="AU77" i="2"/>
  <c r="AU88" i="2"/>
  <c r="AU93" i="2"/>
  <c r="AU90" i="2"/>
  <c r="AU87" i="2"/>
  <c r="AU92" i="2"/>
  <c r="AU94" i="2"/>
  <c r="AU91" i="2"/>
  <c r="AW74" i="2" l="1" a="1"/>
  <c r="AW79" i="2" s="1"/>
  <c r="AW87" i="2" a="1"/>
  <c r="AW92" i="2" s="1"/>
  <c r="AW74" i="2" l="1"/>
  <c r="AW82" i="2"/>
  <c r="AW76" i="2"/>
  <c r="AW77" i="2"/>
  <c r="AW80" i="2"/>
  <c r="AW78" i="2"/>
  <c r="AW81" i="2"/>
  <c r="AW75" i="2"/>
  <c r="AW93" i="2"/>
  <c r="AW94" i="2"/>
  <c r="AW91" i="2"/>
  <c r="AW95" i="2"/>
  <c r="AW90" i="2"/>
  <c r="AW88" i="2"/>
  <c r="AW89" i="2"/>
  <c r="AW87" i="2"/>
  <c r="F6" i="1" l="1"/>
  <c r="F7" i="1"/>
  <c r="F8" i="1"/>
  <c r="F9" i="1"/>
  <c r="F10" i="1"/>
  <c r="F11" i="1"/>
  <c r="F12" i="1"/>
  <c r="F13" i="1"/>
  <c r="F14" i="1"/>
  <c r="F5" i="1"/>
  <c r="F18" i="1" l="1" a="1"/>
  <c r="G18" i="1" s="1"/>
  <c r="X10" i="1" a="1"/>
  <c r="X10" i="1" s="1"/>
  <c r="O19" i="1" l="1"/>
  <c r="K19" i="1"/>
  <c r="G19" i="1"/>
  <c r="N18" i="1"/>
  <c r="J18" i="1"/>
  <c r="F18" i="1"/>
  <c r="N19" i="1"/>
  <c r="J19" i="1"/>
  <c r="F19" i="1"/>
  <c r="M18" i="1"/>
  <c r="I18" i="1"/>
  <c r="M19" i="1"/>
  <c r="I19" i="1"/>
  <c r="P18" i="1"/>
  <c r="L18" i="1"/>
  <c r="H18" i="1"/>
  <c r="P19" i="1"/>
  <c r="L19" i="1"/>
  <c r="H19" i="1"/>
  <c r="O18" i="1"/>
  <c r="K18" i="1"/>
  <c r="Y10" i="1"/>
  <c r="G6" i="1"/>
  <c r="G7" i="1"/>
  <c r="G8" i="1"/>
  <c r="G9" i="1"/>
  <c r="G10" i="1"/>
  <c r="G11" i="1"/>
  <c r="G12" i="1"/>
  <c r="G13" i="1"/>
  <c r="G14" i="1"/>
  <c r="G5" i="1"/>
  <c r="C16" i="1"/>
  <c r="B16" i="1"/>
  <c r="AA9" i="1" l="1" a="1"/>
  <c r="AA9" i="1" s="1"/>
  <c r="AE9" i="1" l="1"/>
  <c r="AG9" i="1"/>
  <c r="AC9" i="1"/>
  <c r="AF9" i="1"/>
  <c r="AJ9" i="1"/>
  <c r="AB9" i="1"/>
  <c r="AD9" i="1"/>
  <c r="AH9" i="1"/>
  <c r="AI9" i="1"/>
  <c r="AL5" i="1" l="1" a="1"/>
  <c r="AL6" i="1"/>
  <c r="AL12" i="1"/>
  <c r="AL14" i="1"/>
  <c r="AL13" i="1"/>
  <c r="AL8" i="1"/>
  <c r="AL10" i="1"/>
  <c r="AL9" i="1"/>
  <c r="AL7" i="1"/>
  <c r="AL5" i="1"/>
  <c r="AL11" i="1"/>
</calcChain>
</file>

<file path=xl/comments1.xml><?xml version="1.0" encoding="utf-8"?>
<comments xmlns="http://schemas.openxmlformats.org/spreadsheetml/2006/main">
  <authors>
    <author>Khati, Manish</author>
  </authors>
  <commentList>
    <comment ref="J3" authorId="0" shapeId="0">
      <text>
        <r>
          <rPr>
            <b/>
            <sz val="9"/>
            <color indexed="81"/>
            <rFont val="Tahoma"/>
            <family val="2"/>
          </rPr>
          <t>Khati, Manish:</t>
        </r>
        <r>
          <rPr>
            <sz val="9"/>
            <color indexed="81"/>
            <rFont val="Tahoma"/>
            <family val="2"/>
          </rPr>
          <t xml:space="preserve">
Since the data
is 2 dimensional, the covariance matrix will be  f
 </t>
        </r>
      </text>
    </comment>
    <comment ref="N3" authorId="0" shapeId="0">
      <text>
        <r>
          <rPr>
            <b/>
            <sz val="9"/>
            <color indexed="81"/>
            <rFont val="Tahoma"/>
            <family val="2"/>
          </rPr>
          <t>Khati, Manish:</t>
        </r>
        <r>
          <rPr>
            <sz val="9"/>
            <color indexed="81"/>
            <rFont val="Tahoma"/>
            <family val="2"/>
          </rPr>
          <t xml:space="preserve">
Used R to calculate
 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</rPr>
          <t>Khati, Manish:</t>
        </r>
        <r>
          <rPr>
            <sz val="9"/>
            <color indexed="81"/>
            <rFont val="Tahoma"/>
            <family val="2"/>
          </rPr>
          <t xml:space="preserve">
Used R to calculate
 </t>
        </r>
      </text>
    </comment>
    <comment ref="X3" authorId="0" shapeId="0">
      <text>
        <r>
          <rPr>
            <b/>
            <sz val="9"/>
            <color indexed="81"/>
            <rFont val="Tahoma"/>
            <family val="2"/>
          </rPr>
          <t>Khati, Manish:</t>
        </r>
        <r>
          <rPr>
            <sz val="9"/>
            <color indexed="81"/>
            <rFont val="Tahoma"/>
            <family val="2"/>
          </rPr>
          <t xml:space="preserve">
Feature Vector is the fancy name of the matrix of a vectors
 </t>
        </r>
      </text>
    </comment>
    <comment ref="AA3" authorId="0" shapeId="0">
      <text>
        <r>
          <rPr>
            <b/>
            <sz val="9"/>
            <color indexed="81"/>
            <rFont val="Tahoma"/>
            <family val="2"/>
          </rPr>
          <t>Khati, Manish:</t>
        </r>
        <r>
          <rPr>
            <sz val="9"/>
            <color indexed="81"/>
            <rFont val="Tahoma"/>
            <family val="2"/>
          </rPr>
          <t xml:space="preserve">
Feature Vector is the fancy name of the matrix of a vectors
 </t>
        </r>
      </text>
    </comment>
    <comment ref="AL3" authorId="0" shapeId="0">
      <text>
        <r>
          <rPr>
            <b/>
            <sz val="9"/>
            <color indexed="81"/>
            <rFont val="Tahoma"/>
            <family val="2"/>
          </rPr>
          <t>Khati, Manish:</t>
        </r>
        <r>
          <rPr>
            <sz val="9"/>
            <color indexed="81"/>
            <rFont val="Tahoma"/>
            <family val="2"/>
          </rPr>
          <t xml:space="preserve">
Feature Vector is the fancy name of the matrix of a vectors
 </t>
        </r>
      </text>
    </comment>
  </commentList>
</comments>
</file>

<file path=xl/sharedStrings.xml><?xml version="1.0" encoding="utf-8"?>
<sst xmlns="http://schemas.openxmlformats.org/spreadsheetml/2006/main" count="102" uniqueCount="58">
  <si>
    <t>x</t>
  </si>
  <si>
    <t>y</t>
  </si>
  <si>
    <t>Data</t>
  </si>
  <si>
    <t>Data Adjusted</t>
  </si>
  <si>
    <t>Mean</t>
  </si>
  <si>
    <t>Calculate Covariance
 Matrix</t>
  </si>
  <si>
    <t>Calculate Eigen Values</t>
  </si>
  <si>
    <t>Calculate Eigen Vectors</t>
  </si>
  <si>
    <t>Choosing Components and Forming a Feature Vector</t>
  </si>
  <si>
    <t>Eigen vector with the heighest eigen value is the principle component</t>
  </si>
  <si>
    <t>Once eigen vectors are found from the covaraince matrix, the next step is to order them by eigen value, heighest to lowest.</t>
  </si>
  <si>
    <t>If you originally have n dimensions in your data and so you calculate n eigen vectors and eigen values. and then you choose the first p eigen vectors, then the final dataset will have only p dimensions.</t>
  </si>
  <si>
    <t>Create Freature Vector</t>
  </si>
  <si>
    <t>Deriving the New Dataset</t>
  </si>
  <si>
    <t>Final Data = Row Feature Vector * Row Data Adjusted</t>
  </si>
  <si>
    <t>Transposed Dataset</t>
  </si>
  <si>
    <t>Teacher Evaluation</t>
  </si>
  <si>
    <t>alt+ti</t>
  </si>
  <si>
    <t>Correlation Matrix</t>
  </si>
  <si>
    <t>Covariance Matrix</t>
  </si>
  <si>
    <t>Expect</t>
  </si>
  <si>
    <t>Entertain</t>
  </si>
  <si>
    <t>Comm</t>
  </si>
  <si>
    <t>Expert</t>
  </si>
  <si>
    <t>Motivate</t>
  </si>
  <si>
    <t>Caring</t>
  </si>
  <si>
    <t>Charisma</t>
  </si>
  <si>
    <t>Passion</t>
  </si>
  <si>
    <t>Friendly</t>
  </si>
  <si>
    <t>det</t>
  </si>
  <si>
    <t>Eigenvalues and Eigenvectors</t>
  </si>
  <si>
    <t>Reduced Model</t>
  </si>
  <si>
    <t>PC1</t>
  </si>
  <si>
    <t>PC2</t>
  </si>
  <si>
    <t>PC3</t>
  </si>
  <si>
    <t>PC4</t>
  </si>
  <si>
    <t>eValue</t>
  </si>
  <si>
    <t>%</t>
  </si>
  <si>
    <t>% Cum</t>
  </si>
  <si>
    <t>B</t>
  </si>
  <si>
    <t>X</t>
  </si>
  <si>
    <t>X'</t>
  </si>
  <si>
    <t>Y</t>
  </si>
  <si>
    <t>Rotation with original model</t>
  </si>
  <si>
    <t>mean</t>
  </si>
  <si>
    <t>stdev</t>
  </si>
  <si>
    <t>skew</t>
  </si>
  <si>
    <t>kurt</t>
  </si>
  <si>
    <t xml:space="preserve"> [1,]  0.1086728  0.63924828  0.2572956 -0.1137757 -0.41709285  9.594544e-02  0.48082964  0.28424032</t>
  </si>
  <si>
    <t xml:space="preserve"> [2,] -0.4115551 -0.25314344  0.1811041  0.2616199 -0.33963617 -4.100447e-05  0.43645311 -0.59253175</t>
  </si>
  <si>
    <t xml:space="preserve"> [3,] -0.4443204  0.29067887  0.1872804  0.3022026 -0.03009203  1.325276e-01 -0.30089770  0.06395496</t>
  </si>
  <si>
    <t xml:space="preserve"> [4,] -0.2156385  0.13550086  0.1828811 -0.8396414 -0.02815191  8.247001e-03 -0.22139124 -0.37879413</t>
  </si>
  <si>
    <t xml:space="preserve"> [5,] -0.3406599  0.03679537 -0.4196315 -0.1559994  0.42356978  5.599086e-01  0.42454929  0.08822369</t>
  </si>
  <si>
    <t xml:space="preserve"> [6,] -0.1765670  0.02533519 -0.7145131 -0.0629735 -0.63254626 -2.962518e-02 -0.21612684  0.07296560</t>
  </si>
  <si>
    <t xml:space="preserve"> [7,] -0.4814953  0.19955382  0.1802973  0.1644359  0.08908207  9.915081e-02 -0.36144073  0.16784172</t>
  </si>
  <si>
    <t xml:space="preserve"> [8,] -0.4053139  0.02943374 -0.1075513 -0.1162147  0.21498491 -7.827772e-01  0.28183460  0.25913254</t>
  </si>
  <si>
    <t xml:space="preserve"> [9,] -0.1776226 -0.61785234  0.3190406 -0.2311699 -0.27441303  1.903062e-01  0.04165296  0.55866844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</si>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</sst>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Lucida Console"/>
      <family val="3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ill="1" applyBorder="1"/>
    <xf numFmtId="0" fontId="0" fillId="0" borderId="1" xfId="0" applyBorder="1" applyAlignment="1">
      <alignment horizontal="center"/>
    </xf>
    <xf numFmtId="164" fontId="0" fillId="0" borderId="3" xfId="1" applyNumberFormat="1" applyFont="1" applyBorder="1"/>
    <xf numFmtId="164" fontId="0" fillId="0" borderId="4" xfId="0" applyNumberFormat="1" applyBorder="1"/>
    <xf numFmtId="0" fontId="0" fillId="0" borderId="13" xfId="0" applyFill="1" applyBorder="1"/>
    <xf numFmtId="164" fontId="0" fillId="0" borderId="0" xfId="1" applyNumberFormat="1" applyFont="1" applyBorder="1"/>
    <xf numFmtId="164" fontId="0" fillId="0" borderId="6" xfId="0" applyNumberFormat="1" applyBorder="1"/>
    <xf numFmtId="164" fontId="0" fillId="0" borderId="8" xfId="1" applyNumberFormat="1" applyFont="1" applyBorder="1"/>
    <xf numFmtId="164" fontId="0" fillId="0" borderId="9" xfId="0" applyNumberFormat="1" applyBorder="1"/>
    <xf numFmtId="0" fontId="0" fillId="0" borderId="14" xfId="0" applyFill="1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1" fillId="0" borderId="0" xfId="0" applyFont="1" applyAlignment="1">
      <alignment horizontal="right"/>
    </xf>
    <xf numFmtId="1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ucida Console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ucida Console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ucida Console"/>
        <family val="3"/>
        <scheme val="none"/>
      </font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Sheet1!$AL$5:$AL$14</c:f>
              <c:numCache>
                <c:formatCode>General</c:formatCode>
                <c:ptCount val="10"/>
                <c:pt idx="0">
                  <c:v>0.81527704700000014</c:v>
                </c:pt>
                <c:pt idx="1">
                  <c:v>-1.7534818529999998</c:v>
                </c:pt>
                <c:pt idx="2">
                  <c:v>0.98502335700000021</c:v>
                </c:pt>
                <c:pt idx="3">
                  <c:v>0.27255486700000026</c:v>
                </c:pt>
                <c:pt idx="4">
                  <c:v>1.6520708270000004</c:v>
                </c:pt>
                <c:pt idx="5">
                  <c:v>0.90393528700000014</c:v>
                </c:pt>
                <c:pt idx="6">
                  <c:v>-0.10260480299999974</c:v>
                </c:pt>
                <c:pt idx="7">
                  <c:v>-1.1296716029999998</c:v>
                </c:pt>
                <c:pt idx="8">
                  <c:v>-0.43234345299999977</c:v>
                </c:pt>
                <c:pt idx="9">
                  <c:v>-1.2107596729999999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F-4139-BD71-8AD4E940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918472"/>
        <c:axId val="354921752"/>
      </c:scatterChart>
      <c:valAx>
        <c:axId val="35491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921752"/>
        <c:crosses val="autoZero"/>
        <c:crossBetween val="midCat"/>
      </c:valAx>
      <c:valAx>
        <c:axId val="35492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918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Sheet1!$B$5:$B$14</c:f>
              <c:numCache>
                <c:formatCode>General</c:formatCode>
                <c:ptCount val="10"/>
                <c:pt idx="0">
                  <c:v>2.5</c:v>
                </c:pt>
                <c:pt idx="1">
                  <c:v>0.5</c:v>
                </c:pt>
                <c:pt idx="2">
                  <c:v>2.2000000000000002</c:v>
                </c:pt>
                <c:pt idx="3">
                  <c:v>1.9</c:v>
                </c:pt>
                <c:pt idx="4">
                  <c:v>3.1</c:v>
                </c:pt>
                <c:pt idx="5">
                  <c:v>2.2999999999999998</c:v>
                </c:pt>
                <c:pt idx="6">
                  <c:v>2</c:v>
                </c:pt>
                <c:pt idx="7">
                  <c:v>1</c:v>
                </c:pt>
                <c:pt idx="8">
                  <c:v>1.5</c:v>
                </c:pt>
                <c:pt idx="9">
                  <c:v>1.1000000000000001</c:v>
                </c:pt>
              </c:numCache>
            </c:numRef>
          </c:xVal>
          <c:yVal>
            <c:numRef>
              <c:f>Sheet1!$C$5:$C$14</c:f>
              <c:numCache>
                <c:formatCode>General</c:formatCode>
                <c:ptCount val="10"/>
                <c:pt idx="0">
                  <c:v>2.4</c:v>
                </c:pt>
                <c:pt idx="1">
                  <c:v>0.7</c:v>
                </c:pt>
                <c:pt idx="2">
                  <c:v>2.9</c:v>
                </c:pt>
                <c:pt idx="3">
                  <c:v>2.2000000000000002</c:v>
                </c:pt>
                <c:pt idx="4">
                  <c:v>3</c:v>
                </c:pt>
                <c:pt idx="5">
                  <c:v>2.7</c:v>
                </c:pt>
                <c:pt idx="6">
                  <c:v>1.6</c:v>
                </c:pt>
                <c:pt idx="7">
                  <c:v>1.1000000000000001</c:v>
                </c:pt>
                <c:pt idx="8">
                  <c:v>1.6</c:v>
                </c:pt>
                <c:pt idx="9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F-443C-B44A-67EC509A8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073904"/>
        <c:axId val="461918440"/>
      </c:scatterChart>
      <c:valAx>
        <c:axId val="46907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8440"/>
        <c:crosses val="autoZero"/>
        <c:crossBetween val="midCat"/>
      </c:valAx>
      <c:valAx>
        <c:axId val="46191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7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Scree Plot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Lit>
              <c:formatCode>General</c:formatCode>
              <c:ptCount val="9"/>
              <c:pt idx="0">
                <c:v>0.54742723754979927</c:v>
              </c:pt>
              <c:pt idx="1">
                <c:v>0.12801383104328856</c:v>
              </c:pt>
              <c:pt idx="2">
                <c:v>9.9040676914732589E-2</c:v>
              </c:pt>
              <c:pt idx="3">
                <c:v>6.8037077233563392E-2</c:v>
              </c:pt>
              <c:pt idx="4">
                <c:v>5.2694744656061138E-2</c:v>
              </c:pt>
              <c:pt idx="5">
                <c:v>3.9652241571292449E-2</c:v>
              </c:pt>
              <c:pt idx="6">
                <c:v>3.5995045295632043E-2</c:v>
              </c:pt>
              <c:pt idx="7">
                <c:v>2.0830040452000653E-2</c:v>
              </c:pt>
              <c:pt idx="8">
                <c:v>8.3091052836300524E-3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709-4E60-A74D-BEAEA152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977128"/>
        <c:axId val="457978696"/>
      </c:lineChart>
      <c:catAx>
        <c:axId val="457977128"/>
        <c:scaling>
          <c:orientation val="minMax"/>
        </c:scaling>
        <c:delete val="0"/>
        <c:axPos val="b"/>
        <c:majorTickMark val="out"/>
        <c:minorTickMark val="none"/>
        <c:tickLblPos val="nextTo"/>
        <c:crossAx val="457978696"/>
        <c:crosses val="autoZero"/>
        <c:auto val="1"/>
        <c:lblAlgn val="ctr"/>
        <c:lblOffset val="100"/>
        <c:noMultiLvlLbl val="0"/>
      </c:catAx>
      <c:valAx>
        <c:axId val="457978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7977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Scree Plot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Lit>
              <c:formatCode>General</c:formatCode>
              <c:ptCount val="9"/>
              <c:pt idx="0">
                <c:v>0.32004854511139591</c:v>
              </c:pt>
              <c:pt idx="1">
                <c:v>0.15985048778574817</c:v>
              </c:pt>
              <c:pt idx="2">
                <c:v>0.12932551663773473</c:v>
              </c:pt>
              <c:pt idx="3">
                <c:v>0.11382807902221671</c:v>
              </c:pt>
              <c:pt idx="4">
                <c:v>7.8356518265323929E-2</c:v>
              </c:pt>
              <c:pt idx="5">
                <c:v>7.1958156648054508E-2</c:v>
              </c:pt>
              <c:pt idx="6">
                <c:v>6.2488138758617091E-2</c:v>
              </c:pt>
              <c:pt idx="7">
                <c:v>3.8360933230682889E-2</c:v>
              </c:pt>
              <c:pt idx="8">
                <c:v>2.5783624540226084E-2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19F-4709-95AB-8DCB132CA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985360"/>
        <c:axId val="457985752"/>
      </c:lineChart>
      <c:catAx>
        <c:axId val="457985360"/>
        <c:scaling>
          <c:orientation val="minMax"/>
        </c:scaling>
        <c:delete val="0"/>
        <c:axPos val="b"/>
        <c:majorTickMark val="out"/>
        <c:minorTickMark val="none"/>
        <c:tickLblPos val="nextTo"/>
        <c:crossAx val="457985752"/>
        <c:crosses val="autoZero"/>
        <c:auto val="1"/>
        <c:lblAlgn val="ctr"/>
        <c:lblOffset val="100"/>
        <c:noMultiLvlLbl val="0"/>
      </c:catAx>
      <c:valAx>
        <c:axId val="457985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7985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247650</xdr:colOff>
      <xdr:row>7</xdr:row>
      <xdr:rowOff>219075</xdr:rowOff>
    </xdr:from>
    <xdr:to>
      <xdr:col>47</xdr:col>
      <xdr:colOff>219074</xdr:colOff>
      <xdr:row>15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F4A9D-DB6E-48C9-A190-B683EF5BE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57150</xdr:colOff>
      <xdr:row>2</xdr:row>
      <xdr:rowOff>266700</xdr:rowOff>
    </xdr:from>
    <xdr:to>
      <xdr:col>47</xdr:col>
      <xdr:colOff>409575</xdr:colOff>
      <xdr:row>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A174A0-0D87-4024-84BE-4A35E97E4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57150</xdr:colOff>
      <xdr:row>42</xdr:row>
      <xdr:rowOff>147637</xdr:rowOff>
    </xdr:from>
    <xdr:to>
      <xdr:col>41</xdr:col>
      <xdr:colOff>361950</xdr:colOff>
      <xdr:row>57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CFDE6-4547-4A66-94BA-809D959DA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41</xdr:row>
      <xdr:rowOff>90487</xdr:rowOff>
    </xdr:from>
    <xdr:to>
      <xdr:col>19</xdr:col>
      <xdr:colOff>333375</xdr:colOff>
      <xdr:row>55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B34A7A-C12C-43E6-A95B-119E0C7ED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A11" totalsRowShown="0" headerRowDxfId="2" dataDxfId="1">
  <autoFilter ref="A2:A11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AM19"/>
  <sheetViews>
    <sheetView tabSelected="1" topLeftCell="A3" workbookViewId="0">
      <selection activeCell="A5" sqref="A5"/>
    </sheetView>
  </sheetViews>
  <sheetFormatPr defaultRowHeight="15" x14ac:dyDescent="0.25"/>
  <cols>
    <col min="5" max="5" width="5.5703125" customWidth="1"/>
    <col min="6" max="6" width="12" customWidth="1"/>
    <col min="7" max="7" width="10.140625" customWidth="1"/>
    <col min="8" max="8" width="4" customWidth="1"/>
    <col min="9" max="9" width="2.42578125" customWidth="1"/>
    <col min="11" max="11" width="17.140625" customWidth="1"/>
    <col min="12" max="12" width="4.42578125" customWidth="1"/>
    <col min="13" max="13" width="4.85546875" customWidth="1"/>
    <col min="15" max="15" width="10.28515625" customWidth="1"/>
    <col min="16" max="16" width="6" customWidth="1"/>
    <col min="19" max="19" width="6.5703125" customWidth="1"/>
    <col min="20" max="20" width="1.42578125" customWidth="1"/>
    <col min="21" max="21" width="65.140625" customWidth="1"/>
  </cols>
  <sheetData>
    <row r="3" spans="1:39" ht="68.25" customHeight="1" x14ac:dyDescent="0.35">
      <c r="B3" s="39" t="s">
        <v>2</v>
      </c>
      <c r="C3" s="39"/>
      <c r="F3" s="39" t="s">
        <v>3</v>
      </c>
      <c r="G3" s="39"/>
      <c r="J3" s="38" t="s">
        <v>5</v>
      </c>
      <c r="K3" s="39"/>
      <c r="N3" s="38" t="s">
        <v>6</v>
      </c>
      <c r="O3" s="39"/>
      <c r="Q3" s="38" t="s">
        <v>7</v>
      </c>
      <c r="R3" s="39"/>
      <c r="U3" s="38" t="s">
        <v>8</v>
      </c>
      <c r="V3" s="39"/>
      <c r="X3" s="38" t="s">
        <v>12</v>
      </c>
      <c r="Y3" s="39"/>
      <c r="AA3" s="38" t="s">
        <v>13</v>
      </c>
      <c r="AB3" s="39"/>
      <c r="AL3" s="38" t="s">
        <v>15</v>
      </c>
      <c r="AM3" s="39"/>
    </row>
    <row r="4" spans="1:39" x14ac:dyDescent="0.25">
      <c r="B4" s="1" t="s">
        <v>0</v>
      </c>
      <c r="C4" s="1" t="s">
        <v>1</v>
      </c>
      <c r="F4" s="2" t="s">
        <v>0</v>
      </c>
      <c r="G4" s="2" t="s">
        <v>1</v>
      </c>
    </row>
    <row r="5" spans="1:39" x14ac:dyDescent="0.25">
      <c r="B5" s="2">
        <v>2.5</v>
      </c>
      <c r="C5" s="2">
        <v>2.4</v>
      </c>
      <c r="F5" s="2">
        <f>B5-$B$16</f>
        <v>0.69</v>
      </c>
      <c r="G5" s="2">
        <f>C5-$C$16</f>
        <v>0.49000000000000021</v>
      </c>
      <c r="AL5">
        <f t="array" ref="AL5:AL14">TRANSPOSE(AA9:AJ9)</f>
        <v>0.81527704700000014</v>
      </c>
    </row>
    <row r="6" spans="1:39" ht="30" x14ac:dyDescent="0.25">
      <c r="B6" s="2">
        <v>0.5</v>
      </c>
      <c r="C6" s="2">
        <v>0.7</v>
      </c>
      <c r="F6" s="2">
        <f t="shared" ref="F6:F14" si="0">B6-$B$16</f>
        <v>-1.31</v>
      </c>
      <c r="G6" s="2">
        <f t="shared" ref="G6:G14" si="1">C6-$C$16</f>
        <v>-1.2099999999999997</v>
      </c>
      <c r="J6" s="2">
        <f>COVAR(F5:F14,F5:F14)</f>
        <v>0.55490000000000017</v>
      </c>
      <c r="K6" s="2">
        <f>COVAR(F5:F14,G5:G14)</f>
        <v>0.55390000000000006</v>
      </c>
      <c r="N6" s="3">
        <v>1.15562494</v>
      </c>
      <c r="Q6">
        <v>0.67787339999999996</v>
      </c>
      <c r="R6">
        <v>-0.73517869999999996</v>
      </c>
      <c r="U6" s="4" t="s">
        <v>10</v>
      </c>
      <c r="X6">
        <v>0.65947730000000004</v>
      </c>
      <c r="AA6" t="s">
        <v>14</v>
      </c>
      <c r="AL6">
        <v>-1.7534818529999998</v>
      </c>
    </row>
    <row r="7" spans="1:39" ht="30" x14ac:dyDescent="0.25">
      <c r="B7" s="2">
        <v>2.2000000000000002</v>
      </c>
      <c r="C7" s="2">
        <v>2.9</v>
      </c>
      <c r="F7" s="2">
        <f t="shared" si="0"/>
        <v>0.39000000000000012</v>
      </c>
      <c r="G7" s="2">
        <f t="shared" si="1"/>
        <v>0.99000000000000021</v>
      </c>
      <c r="J7" s="2">
        <f>COVAR(G5:G14,F5:F14)</f>
        <v>0.55390000000000006</v>
      </c>
      <c r="K7" s="2">
        <f>COVAR(G5:G14,G5:G14)</f>
        <v>0.64490000000000003</v>
      </c>
      <c r="N7">
        <v>4.4175060000000002E-2</v>
      </c>
      <c r="Q7">
        <v>0.73517869999999996</v>
      </c>
      <c r="R7">
        <v>0.67787339999999996</v>
      </c>
      <c r="U7" s="4" t="s">
        <v>9</v>
      </c>
      <c r="X7">
        <v>0.73517900000000003</v>
      </c>
      <c r="AL7">
        <v>0.98502335700000021</v>
      </c>
    </row>
    <row r="8" spans="1:39" ht="45" x14ac:dyDescent="0.25">
      <c r="B8" s="2">
        <v>1.9</v>
      </c>
      <c r="C8" s="2">
        <v>2.2000000000000002</v>
      </c>
      <c r="F8" s="2">
        <f t="shared" si="0"/>
        <v>8.9999999999999858E-2</v>
      </c>
      <c r="G8" s="2">
        <f t="shared" si="1"/>
        <v>0.29000000000000048</v>
      </c>
      <c r="U8" s="4" t="s">
        <v>11</v>
      </c>
      <c r="AL8">
        <v>0.27255486700000026</v>
      </c>
    </row>
    <row r="9" spans="1:39" x14ac:dyDescent="0.25">
      <c r="B9" s="2">
        <v>3.1</v>
      </c>
      <c r="C9" s="2">
        <v>3</v>
      </c>
      <c r="F9" s="2">
        <f t="shared" si="0"/>
        <v>1.29</v>
      </c>
      <c r="G9" s="2">
        <f t="shared" si="1"/>
        <v>1.0900000000000003</v>
      </c>
      <c r="AA9" s="2">
        <f t="array" ref="AA9:AJ9">MMULT(X10:Y10,G18:P19)</f>
        <v>0.81527704700000014</v>
      </c>
      <c r="AB9" s="2">
        <v>-1.7534818529999998</v>
      </c>
      <c r="AC9" s="2">
        <v>0.98502335700000021</v>
      </c>
      <c r="AD9" s="2">
        <v>0.27255486700000026</v>
      </c>
      <c r="AE9" s="2">
        <v>1.6520708270000004</v>
      </c>
      <c r="AF9" s="2">
        <v>0.90393528700000014</v>
      </c>
      <c r="AG9" s="2">
        <v>-0.10260480299999974</v>
      </c>
      <c r="AH9" s="2">
        <v>-1.1296716029999998</v>
      </c>
      <c r="AI9" s="2">
        <v>-0.43234345299999977</v>
      </c>
      <c r="AJ9" s="2">
        <v>-1.2107596729999999</v>
      </c>
      <c r="AL9">
        <v>1.6520708270000004</v>
      </c>
    </row>
    <row r="10" spans="1:39" x14ac:dyDescent="0.25">
      <c r="B10" s="2">
        <v>2.2999999999999998</v>
      </c>
      <c r="C10" s="2">
        <v>2.7</v>
      </c>
      <c r="F10" s="2">
        <f t="shared" si="0"/>
        <v>0.48999999999999977</v>
      </c>
      <c r="G10" s="2">
        <f t="shared" si="1"/>
        <v>0.79000000000000048</v>
      </c>
      <c r="X10" s="2">
        <f t="array" ref="X10:Y10">TRANSPOSE(X6:X7)</f>
        <v>0.65947730000000004</v>
      </c>
      <c r="Y10" s="2">
        <v>0.73517900000000003</v>
      </c>
      <c r="AL10">
        <v>0.90393528700000014</v>
      </c>
    </row>
    <row r="11" spans="1:39" x14ac:dyDescent="0.25">
      <c r="B11" s="2">
        <v>2</v>
      </c>
      <c r="C11" s="2">
        <v>1.6</v>
      </c>
      <c r="F11" s="2">
        <f t="shared" si="0"/>
        <v>0.18999999999999995</v>
      </c>
      <c r="G11" s="2">
        <f t="shared" si="1"/>
        <v>-0.30999999999999961</v>
      </c>
      <c r="AL11">
        <v>-0.10260480299999974</v>
      </c>
    </row>
    <row r="12" spans="1:39" x14ac:dyDescent="0.25">
      <c r="B12" s="2">
        <v>1</v>
      </c>
      <c r="C12" s="2">
        <v>1.1000000000000001</v>
      </c>
      <c r="F12" s="2">
        <f t="shared" si="0"/>
        <v>-0.81</v>
      </c>
      <c r="G12" s="2">
        <f t="shared" si="1"/>
        <v>-0.80999999999999961</v>
      </c>
      <c r="AL12">
        <v>-1.1296716029999998</v>
      </c>
    </row>
    <row r="13" spans="1:39" x14ac:dyDescent="0.25">
      <c r="B13" s="2">
        <v>1.5</v>
      </c>
      <c r="C13" s="2">
        <v>1.6</v>
      </c>
      <c r="F13" s="2">
        <f t="shared" si="0"/>
        <v>-0.31000000000000005</v>
      </c>
      <c r="G13" s="2">
        <f t="shared" si="1"/>
        <v>-0.30999999999999961</v>
      </c>
      <c r="AL13">
        <v>-0.43234345299999977</v>
      </c>
    </row>
    <row r="14" spans="1:39" x14ac:dyDescent="0.25">
      <c r="B14" s="2">
        <v>1.1000000000000001</v>
      </c>
      <c r="C14" s="2">
        <v>0.9</v>
      </c>
      <c r="F14" s="2">
        <f t="shared" si="0"/>
        <v>-0.71</v>
      </c>
      <c r="G14" s="2">
        <f t="shared" si="1"/>
        <v>-1.0099999999999998</v>
      </c>
      <c r="AL14">
        <v>-1.2107596729999999</v>
      </c>
    </row>
    <row r="16" spans="1:39" x14ac:dyDescent="0.25">
      <c r="A16" s="5" t="s">
        <v>4</v>
      </c>
      <c r="B16">
        <f>AVERAGE(B5:B14)</f>
        <v>1.81</v>
      </c>
      <c r="C16">
        <f>AVERAGE(C5:C14)</f>
        <v>1.9099999999999997</v>
      </c>
    </row>
    <row r="18" spans="6:16" x14ac:dyDescent="0.25">
      <c r="F18" s="2" t="str">
        <f t="array" ref="F18:P19">TRANSPOSE(F4:G14)</f>
        <v>x</v>
      </c>
      <c r="G18" s="2">
        <v>0.69</v>
      </c>
      <c r="H18" s="2">
        <v>-1.31</v>
      </c>
      <c r="I18" s="2">
        <v>0.39000000000000012</v>
      </c>
      <c r="J18" s="2">
        <v>8.9999999999999858E-2</v>
      </c>
      <c r="K18" s="2">
        <v>1.29</v>
      </c>
      <c r="L18" s="2">
        <v>0.48999999999999977</v>
      </c>
      <c r="M18" s="2">
        <v>0.18999999999999995</v>
      </c>
      <c r="N18" s="2">
        <v>-0.81</v>
      </c>
      <c r="O18" s="2">
        <v>-0.31000000000000005</v>
      </c>
      <c r="P18" s="2">
        <v>-0.71</v>
      </c>
    </row>
    <row r="19" spans="6:16" x14ac:dyDescent="0.25">
      <c r="F19" s="2" t="str">
        <v>y</v>
      </c>
      <c r="G19" s="2">
        <v>0.49000000000000021</v>
      </c>
      <c r="H19" s="2">
        <v>-1.2099999999999997</v>
      </c>
      <c r="I19" s="2">
        <v>0.99000000000000021</v>
      </c>
      <c r="J19" s="2">
        <v>0.29000000000000048</v>
      </c>
      <c r="K19" s="2">
        <v>1.0900000000000003</v>
      </c>
      <c r="L19" s="2">
        <v>0.79000000000000048</v>
      </c>
      <c r="M19" s="2">
        <v>-0.30999999999999961</v>
      </c>
      <c r="N19" s="2">
        <v>-0.80999999999999961</v>
      </c>
      <c r="O19" s="2">
        <v>-0.30999999999999961</v>
      </c>
      <c r="P19" s="2">
        <v>-1.0099999999999998</v>
      </c>
    </row>
  </sheetData>
  <mergeCells count="9">
    <mergeCell ref="U3:V3"/>
    <mergeCell ref="X3:Y3"/>
    <mergeCell ref="AA3:AB3"/>
    <mergeCell ref="AL3:AM3"/>
    <mergeCell ref="B3:C3"/>
    <mergeCell ref="F3:G3"/>
    <mergeCell ref="J3:K3"/>
    <mergeCell ref="N3:O3"/>
    <mergeCell ref="Q3:R3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9"/>
  <sheetViews>
    <sheetView topLeftCell="I18" workbookViewId="0">
      <selection activeCell="P19" sqref="P19:P26"/>
    </sheetView>
  </sheetViews>
  <sheetFormatPr defaultRowHeight="15" x14ac:dyDescent="0.25"/>
  <cols>
    <col min="1" max="1" width="5.7109375" customWidth="1"/>
    <col min="2" max="10" width="10.28515625" customWidth="1"/>
    <col min="18" max="18" width="12" customWidth="1"/>
    <col min="44" max="44" width="5" customWidth="1"/>
    <col min="46" max="46" width="4.85546875" customWidth="1"/>
    <col min="48" max="48" width="4.7109375" customWidth="1"/>
  </cols>
  <sheetData>
    <row r="1" spans="1:58" x14ac:dyDescent="0.25">
      <c r="A1" s="6" t="s">
        <v>16</v>
      </c>
      <c r="D1" t="s">
        <v>17</v>
      </c>
      <c r="L1" s="6" t="s">
        <v>18</v>
      </c>
      <c r="AH1" s="6" t="s">
        <v>19</v>
      </c>
    </row>
    <row r="2" spans="1:58" x14ac:dyDescent="0.25">
      <c r="N2" s="12"/>
      <c r="O2" s="12"/>
      <c r="P2" s="12"/>
      <c r="Q2" s="12"/>
      <c r="R2" s="12"/>
      <c r="S2" s="12"/>
      <c r="T2" s="12"/>
    </row>
    <row r="3" spans="1:58" s="7" customFormat="1" x14ac:dyDescent="0.25"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M3" s="36" t="s">
        <v>20</v>
      </c>
      <c r="N3" s="36" t="s">
        <v>21</v>
      </c>
      <c r="O3" s="36" t="s">
        <v>22</v>
      </c>
      <c r="P3" s="36" t="s">
        <v>23</v>
      </c>
      <c r="Q3" s="36" t="s">
        <v>24</v>
      </c>
      <c r="R3" s="36" t="s">
        <v>25</v>
      </c>
      <c r="S3" s="36" t="s">
        <v>26</v>
      </c>
      <c r="T3" s="36" t="s">
        <v>27</v>
      </c>
      <c r="U3" s="36" t="s">
        <v>28</v>
      </c>
      <c r="X3" s="7" t="s">
        <v>20</v>
      </c>
      <c r="Y3" s="7" t="s">
        <v>21</v>
      </c>
      <c r="Z3" s="7" t="s">
        <v>22</v>
      </c>
      <c r="AA3" s="7" t="s">
        <v>25</v>
      </c>
      <c r="AB3" s="7" t="s">
        <v>26</v>
      </c>
      <c r="AC3" s="7" t="s">
        <v>23</v>
      </c>
      <c r="AD3" s="7" t="s">
        <v>24</v>
      </c>
      <c r="AE3" s="7" t="s">
        <v>27</v>
      </c>
      <c r="AF3" s="7" t="s">
        <v>28</v>
      </c>
      <c r="AI3" s="7" t="str">
        <f t="array" ref="AI3:AQ3">M3:U3</f>
        <v>Expect</v>
      </c>
      <c r="AJ3" s="7" t="str">
        <v>Entertain</v>
      </c>
      <c r="AK3" s="7" t="str">
        <v>Comm</v>
      </c>
      <c r="AL3" s="7" t="str">
        <v>Expert</v>
      </c>
      <c r="AM3" s="7" t="str">
        <v>Motivate</v>
      </c>
      <c r="AN3" s="7" t="str">
        <v>Caring</v>
      </c>
      <c r="AO3" s="7" t="str">
        <v>Charisma</v>
      </c>
      <c r="AP3" s="7" t="str">
        <v>Passion</v>
      </c>
      <c r="AQ3" s="7" t="str">
        <v>Friendly</v>
      </c>
      <c r="AW3"/>
      <c r="AX3"/>
      <c r="AY3"/>
      <c r="AZ3"/>
      <c r="BA3"/>
      <c r="BB3"/>
      <c r="BC3"/>
      <c r="BD3"/>
      <c r="BE3"/>
      <c r="BF3"/>
    </row>
    <row r="4" spans="1:58" x14ac:dyDescent="0.25">
      <c r="A4">
        <v>1</v>
      </c>
      <c r="B4" s="8">
        <v>2</v>
      </c>
      <c r="C4" s="9">
        <v>8</v>
      </c>
      <c r="D4" s="9">
        <v>1</v>
      </c>
      <c r="E4" s="9">
        <v>4</v>
      </c>
      <c r="F4" s="9">
        <v>7</v>
      </c>
      <c r="G4" s="9">
        <v>5</v>
      </c>
      <c r="H4" s="9">
        <v>4</v>
      </c>
      <c r="I4" s="9">
        <v>4</v>
      </c>
      <c r="J4" s="10">
        <v>8</v>
      </c>
      <c r="L4" s="36" t="s">
        <v>20</v>
      </c>
      <c r="M4" s="8">
        <v>1</v>
      </c>
      <c r="N4" s="9">
        <f>CORREL(B4:$B$123,C4:C123)</f>
        <v>-0.17658022821634065</v>
      </c>
      <c r="O4" s="9">
        <f>CORREL($B4:B$123,D4:D123)</f>
        <v>7.947234891015241E-2</v>
      </c>
      <c r="P4" s="9">
        <f>CORREL($B4:B$123,E4:E123)</f>
        <v>0.12053127811168439</v>
      </c>
      <c r="Q4" s="9">
        <f>CORREL($B4:B$123,F4:F123)</f>
        <v>-0.14720719068362431</v>
      </c>
      <c r="R4" s="9">
        <f>CORREL($B4:B$123,G4:G123)</f>
        <v>-0.10524524027041282</v>
      </c>
      <c r="S4" s="9">
        <f>CORREL($B4:B$123,H4:H123)</f>
        <v>-2.1890906215995602E-2</v>
      </c>
      <c r="T4" s="9">
        <f>CORREL($B4:B$123,I4:I123)</f>
        <v>-0.12979427946395597</v>
      </c>
      <c r="U4" s="9">
        <f>CORREL($B4:B$123,J4:J123)</f>
        <v>-0.34401036690229414</v>
      </c>
      <c r="W4">
        <v>1</v>
      </c>
      <c r="X4" s="8">
        <f t="shared" ref="X4:AF32" si="0">STANDARDIZE(B4,B$126,B$127)</f>
        <v>-1.349169127354642</v>
      </c>
      <c r="Y4" s="9">
        <f t="shared" si="0"/>
        <v>-0.29238417492594532</v>
      </c>
      <c r="Z4" s="9">
        <f t="shared" si="0"/>
        <v>-1.4854848104327987</v>
      </c>
      <c r="AA4" s="9">
        <f t="shared" si="0"/>
        <v>0.60812434450388564</v>
      </c>
      <c r="AB4" s="9">
        <f t="shared" si="0"/>
        <v>0.30504398370210595</v>
      </c>
      <c r="AC4" s="9">
        <f t="shared" si="0"/>
        <v>-0.73660266912250705</v>
      </c>
      <c r="AD4" s="9">
        <f t="shared" si="0"/>
        <v>-0.32502325131756366</v>
      </c>
      <c r="AE4" s="9">
        <f t="shared" si="0"/>
        <v>-0.76129058458721444</v>
      </c>
      <c r="AF4" s="10">
        <f t="shared" si="0"/>
        <v>1.1896601456449316</v>
      </c>
      <c r="AH4" t="str">
        <f t="array" ref="AH4:AH12">L4:L12</f>
        <v>Expect</v>
      </c>
      <c r="AI4" s="8" t="e">
        <f t="array" aca="1" ref="AI4:AQ12" ca="1">COV(B4:J123)</f>
        <v>#NAME?</v>
      </c>
      <c r="AJ4" s="9" t="e">
        <f ca="1"/>
        <v>#NAME?</v>
      </c>
      <c r="AK4" s="9" t="e">
        <f ca="1"/>
        <v>#NAME?</v>
      </c>
      <c r="AL4" s="9" t="e">
        <f ca="1"/>
        <v>#NAME?</v>
      </c>
      <c r="AM4" s="9" t="e">
        <f ca="1"/>
        <v>#NAME?</v>
      </c>
      <c r="AN4" s="9" t="e">
        <f ca="1"/>
        <v>#NAME?</v>
      </c>
      <c r="AO4" s="9" t="e">
        <f ca="1"/>
        <v>#NAME?</v>
      </c>
      <c r="AP4" s="9" t="e">
        <f ca="1"/>
        <v>#NAME?</v>
      </c>
      <c r="AQ4" s="10" t="e">
        <f ca="1"/>
        <v>#NAME?</v>
      </c>
    </row>
    <row r="5" spans="1:58" x14ac:dyDescent="0.25">
      <c r="A5">
        <v>2</v>
      </c>
      <c r="B5" s="11">
        <v>4</v>
      </c>
      <c r="C5" s="12">
        <v>8</v>
      </c>
      <c r="D5" s="12">
        <v>5</v>
      </c>
      <c r="E5" s="12">
        <v>3</v>
      </c>
      <c r="F5" s="12">
        <v>7</v>
      </c>
      <c r="G5" s="12">
        <v>7</v>
      </c>
      <c r="H5" s="12">
        <v>7</v>
      </c>
      <c r="I5" s="12">
        <v>6</v>
      </c>
      <c r="J5" s="13">
        <v>6</v>
      </c>
      <c r="L5" s="36" t="s">
        <v>21</v>
      </c>
      <c r="M5">
        <v>-0.17658022821634065</v>
      </c>
      <c r="N5" s="12">
        <v>1</v>
      </c>
      <c r="O5" s="12">
        <f>CORREL($C$4:$C$123,D4:D123)</f>
        <v>0.44692051174421538</v>
      </c>
      <c r="P5" s="12">
        <f t="shared" ref="P5:U5" si="1">CORREL($C$4:$C$123,E4:E123)</f>
        <v>4.8459487091569511E-2</v>
      </c>
      <c r="Q5" s="12">
        <f t="shared" si="1"/>
        <v>0.24412158026310951</v>
      </c>
      <c r="R5" s="12">
        <f t="shared" si="1"/>
        <v>0.11666737388326577</v>
      </c>
      <c r="S5" s="12">
        <f t="shared" si="1"/>
        <v>0.45068677465590756</v>
      </c>
      <c r="T5" s="12">
        <f t="shared" si="1"/>
        <v>0.3792596923750034</v>
      </c>
      <c r="U5" s="12">
        <f t="shared" si="1"/>
        <v>0.40086949354334517</v>
      </c>
      <c r="W5">
        <f>W4+1</f>
        <v>2</v>
      </c>
      <c r="X5" s="11">
        <f t="shared" si="0"/>
        <v>0.23034594857274363</v>
      </c>
      <c r="Y5" s="12">
        <f t="shared" si="0"/>
        <v>-0.29238417492594532</v>
      </c>
      <c r="Z5" s="12">
        <f t="shared" si="0"/>
        <v>0.93979651272279086</v>
      </c>
      <c r="AA5" s="12">
        <f t="shared" si="0"/>
        <v>-0.378023241178091</v>
      </c>
      <c r="AB5" s="12">
        <f t="shared" si="0"/>
        <v>0.30504398370210595</v>
      </c>
      <c r="AC5" s="12">
        <f t="shared" si="0"/>
        <v>0.72442741839320879</v>
      </c>
      <c r="AD5" s="12">
        <f t="shared" si="0"/>
        <v>0.8334754662499898</v>
      </c>
      <c r="AE5" s="12">
        <f t="shared" si="0"/>
        <v>1.3388213728947576</v>
      </c>
      <c r="AF5" s="13">
        <f t="shared" si="0"/>
        <v>-2.2093688419120152</v>
      </c>
      <c r="AH5" t="str">
        <v>Entertain</v>
      </c>
      <c r="AI5" s="11" t="e">
        <f ca="1"/>
        <v>#NAME?</v>
      </c>
      <c r="AJ5" s="12" t="e">
        <f ca="1"/>
        <v>#NAME?</v>
      </c>
      <c r="AK5" s="12" t="e">
        <f ca="1"/>
        <v>#NAME?</v>
      </c>
      <c r="AL5" s="12" t="e">
        <f ca="1"/>
        <v>#NAME?</v>
      </c>
      <c r="AM5" s="12" t="e">
        <f ca="1"/>
        <v>#NAME?</v>
      </c>
      <c r="AN5" s="12" t="e">
        <f ca="1"/>
        <v>#NAME?</v>
      </c>
      <c r="AO5" s="12" t="e">
        <f ca="1"/>
        <v>#NAME?</v>
      </c>
      <c r="AP5" s="12" t="e">
        <f ca="1"/>
        <v>#NAME?</v>
      </c>
      <c r="AQ5" s="13" t="e">
        <f ca="1"/>
        <v>#NAME?</v>
      </c>
    </row>
    <row r="6" spans="1:58" x14ac:dyDescent="0.25">
      <c r="A6">
        <v>3</v>
      </c>
      <c r="B6" s="11">
        <v>2</v>
      </c>
      <c r="C6" s="12">
        <v>8</v>
      </c>
      <c r="D6" s="12">
        <v>2</v>
      </c>
      <c r="E6" s="12">
        <v>3</v>
      </c>
      <c r="F6" s="12">
        <v>6</v>
      </c>
      <c r="G6" s="12">
        <v>7</v>
      </c>
      <c r="H6" s="12">
        <v>1</v>
      </c>
      <c r="I6" s="12">
        <v>3</v>
      </c>
      <c r="J6" s="13">
        <v>7</v>
      </c>
      <c r="L6" s="36" t="s">
        <v>22</v>
      </c>
      <c r="M6">
        <v>7.947234891015241E-2</v>
      </c>
      <c r="N6" s="12">
        <v>0.44692051174421538</v>
      </c>
      <c r="O6" s="12">
        <v>1</v>
      </c>
      <c r="P6" s="12">
        <f>CORREL($D$4:$D$123,E4:E123)</f>
        <v>0.15224383453637211</v>
      </c>
      <c r="Q6" s="12">
        <f>CORREL($D$4:$D$123,F4:F123)</f>
        <v>0.28642393294527874</v>
      </c>
      <c r="R6" s="12">
        <f t="shared" ref="R6:U6" si="2">CORREL($D$4:$D$123,G4:G123)</f>
        <v>0.10626504883200422</v>
      </c>
      <c r="S6" s="12">
        <f t="shared" si="2"/>
        <v>0.74875752234637949</v>
      </c>
      <c r="T6" s="12">
        <f t="shared" si="2"/>
        <v>0.36835923827531919</v>
      </c>
      <c r="U6" s="12">
        <f t="shared" si="2"/>
        <v>6.9273962356186172E-3</v>
      </c>
      <c r="W6">
        <f t="shared" ref="W6:W69" si="3">W5+1</f>
        <v>3</v>
      </c>
      <c r="X6" s="11">
        <f t="shared" si="0"/>
        <v>-1.349169127354642</v>
      </c>
      <c r="Y6" s="12">
        <f t="shared" si="0"/>
        <v>-0.29238417492594532</v>
      </c>
      <c r="Z6" s="12">
        <f t="shared" si="0"/>
        <v>-0.87916447964390132</v>
      </c>
      <c r="AA6" s="12">
        <f t="shared" si="0"/>
        <v>-0.378023241178091</v>
      </c>
      <c r="AB6" s="12">
        <f t="shared" si="0"/>
        <v>-0.74082110327654205</v>
      </c>
      <c r="AC6" s="12">
        <f t="shared" si="0"/>
        <v>0.72442741839320879</v>
      </c>
      <c r="AD6" s="12">
        <f t="shared" si="0"/>
        <v>-1.4835219688851171</v>
      </c>
      <c r="AE6" s="12">
        <f t="shared" si="0"/>
        <v>-1.8113465633282004</v>
      </c>
      <c r="AF6" s="13">
        <f t="shared" si="0"/>
        <v>-0.50985434813354169</v>
      </c>
      <c r="AH6" t="str">
        <v>Comm</v>
      </c>
      <c r="AI6" s="11" t="e">
        <f ca="1"/>
        <v>#NAME?</v>
      </c>
      <c r="AJ6" s="12" t="e">
        <f ca="1"/>
        <v>#NAME?</v>
      </c>
      <c r="AK6" s="12" t="e">
        <f ca="1"/>
        <v>#NAME?</v>
      </c>
      <c r="AL6" s="12" t="e">
        <f ca="1"/>
        <v>#NAME?</v>
      </c>
      <c r="AM6" s="12" t="e">
        <f ca="1"/>
        <v>#NAME?</v>
      </c>
      <c r="AN6" s="12" t="e">
        <f ca="1"/>
        <v>#NAME?</v>
      </c>
      <c r="AO6" s="12" t="e">
        <f ca="1"/>
        <v>#NAME?</v>
      </c>
      <c r="AP6" s="12" t="e">
        <f ca="1"/>
        <v>#NAME?</v>
      </c>
      <c r="AQ6" s="13" t="e">
        <f ca="1"/>
        <v>#NAME?</v>
      </c>
    </row>
    <row r="7" spans="1:58" x14ac:dyDescent="0.25">
      <c r="A7">
        <v>4</v>
      </c>
      <c r="B7" s="11">
        <v>4</v>
      </c>
      <c r="C7" s="12">
        <v>8</v>
      </c>
      <c r="D7" s="12">
        <v>4</v>
      </c>
      <c r="E7" s="12">
        <v>2</v>
      </c>
      <c r="F7" s="12">
        <v>8</v>
      </c>
      <c r="G7" s="12">
        <v>7</v>
      </c>
      <c r="H7" s="12">
        <v>7</v>
      </c>
      <c r="I7" s="12">
        <v>5</v>
      </c>
      <c r="J7" s="13">
        <v>7</v>
      </c>
      <c r="L7" s="36" t="s">
        <v>23</v>
      </c>
      <c r="M7">
        <v>0.12053127811168439</v>
      </c>
      <c r="N7" s="12">
        <v>4.8459487091569511E-2</v>
      </c>
      <c r="O7" s="12">
        <v>0.15224383453637211</v>
      </c>
      <c r="P7" s="12">
        <v>1</v>
      </c>
      <c r="Q7" s="12">
        <f>CORREL($E$4:$E$123,F4:F123)</f>
        <v>0.19428606575437998</v>
      </c>
      <c r="R7" s="12">
        <f t="shared" ref="R7:U7" si="4">CORREL($E$4:$E$123,G4:G123)</f>
        <v>4.6109357219148737E-2</v>
      </c>
      <c r="S7" s="12">
        <f t="shared" si="4"/>
        <v>0.24731764508778459</v>
      </c>
      <c r="T7" s="12">
        <f t="shared" si="4"/>
        <v>0.25800736545459857</v>
      </c>
      <c r="U7" s="12">
        <f t="shared" si="4"/>
        <v>0.18590615055713788</v>
      </c>
      <c r="W7">
        <f t="shared" si="3"/>
        <v>4</v>
      </c>
      <c r="X7" s="11">
        <f t="shared" si="0"/>
        <v>0.23034594857274363</v>
      </c>
      <c r="Y7" s="12">
        <f t="shared" si="0"/>
        <v>-0.29238417492594532</v>
      </c>
      <c r="Z7" s="12">
        <f t="shared" si="0"/>
        <v>0.33347618193389345</v>
      </c>
      <c r="AA7" s="12">
        <f t="shared" si="0"/>
        <v>-1.3641708268600676</v>
      </c>
      <c r="AB7" s="12">
        <f t="shared" si="0"/>
        <v>1.3509090706807538</v>
      </c>
      <c r="AC7" s="12">
        <f t="shared" si="0"/>
        <v>0.72442741839320879</v>
      </c>
      <c r="AD7" s="12">
        <f t="shared" si="0"/>
        <v>0.8334754662499898</v>
      </c>
      <c r="AE7" s="12">
        <f t="shared" si="0"/>
        <v>0.2887653941537715</v>
      </c>
      <c r="AF7" s="13">
        <f t="shared" si="0"/>
        <v>-0.50985434813354169</v>
      </c>
      <c r="AH7" t="str">
        <v>Expert</v>
      </c>
      <c r="AI7" s="11" t="e">
        <f ca="1"/>
        <v>#NAME?</v>
      </c>
      <c r="AJ7" s="12" t="e">
        <f ca="1"/>
        <v>#NAME?</v>
      </c>
      <c r="AK7" s="12" t="e">
        <f ca="1"/>
        <v>#NAME?</v>
      </c>
      <c r="AL7" s="12" t="e">
        <f ca="1"/>
        <v>#NAME?</v>
      </c>
      <c r="AM7" s="12" t="e">
        <f ca="1"/>
        <v>#NAME?</v>
      </c>
      <c r="AN7" s="12" t="e">
        <f ca="1"/>
        <v>#NAME?</v>
      </c>
      <c r="AO7" s="12" t="e">
        <f ca="1"/>
        <v>#NAME?</v>
      </c>
      <c r="AP7" s="12" t="e">
        <f ca="1"/>
        <v>#NAME?</v>
      </c>
      <c r="AQ7" s="13" t="e">
        <f ca="1"/>
        <v>#NAME?</v>
      </c>
    </row>
    <row r="8" spans="1:58" x14ac:dyDescent="0.25">
      <c r="A8">
        <v>5</v>
      </c>
      <c r="B8" s="11">
        <v>3</v>
      </c>
      <c r="C8" s="12">
        <v>8</v>
      </c>
      <c r="D8" s="12">
        <v>5</v>
      </c>
      <c r="E8" s="12">
        <v>4</v>
      </c>
      <c r="F8" s="12">
        <v>8</v>
      </c>
      <c r="G8" s="12">
        <v>8</v>
      </c>
      <c r="H8" s="12">
        <v>7</v>
      </c>
      <c r="I8" s="12">
        <v>6</v>
      </c>
      <c r="J8" s="13">
        <v>7</v>
      </c>
      <c r="L8" s="36" t="s">
        <v>24</v>
      </c>
      <c r="M8">
        <v>-0.14720719068362431</v>
      </c>
      <c r="N8" s="12">
        <v>0.24412158026310951</v>
      </c>
      <c r="O8" s="12">
        <v>0.28642393294527874</v>
      </c>
      <c r="P8" s="12">
        <v>0.19428606575437998</v>
      </c>
      <c r="Q8" s="12">
        <v>1</v>
      </c>
      <c r="R8" s="12">
        <f>CORREL($F$4:$F$123,G4:G123)</f>
        <v>0.28436745486873338</v>
      </c>
      <c r="S8" s="12">
        <f t="shared" ref="S8:U8" si="5">CORREL($F$4:$F$123,H4:H123)</f>
        <v>0.34434258129116868</v>
      </c>
      <c r="T8" s="12">
        <f t="shared" si="5"/>
        <v>0.32646573442580373</v>
      </c>
      <c r="U8" s="12">
        <f t="shared" si="5"/>
        <v>3.7341657013804527E-2</v>
      </c>
      <c r="W8">
        <f t="shared" si="3"/>
        <v>5</v>
      </c>
      <c r="X8" s="11">
        <f t="shared" si="0"/>
        <v>-0.55941158939094915</v>
      </c>
      <c r="Y8" s="12">
        <f t="shared" si="0"/>
        <v>-0.29238417492594532</v>
      </c>
      <c r="Z8" s="12">
        <f t="shared" si="0"/>
        <v>0.93979651272279086</v>
      </c>
      <c r="AA8" s="12">
        <f t="shared" si="0"/>
        <v>0.60812434450388564</v>
      </c>
      <c r="AB8" s="12">
        <f t="shared" si="0"/>
        <v>1.3509090706807538</v>
      </c>
      <c r="AC8" s="12">
        <f t="shared" si="0"/>
        <v>1.4549424621510667</v>
      </c>
      <c r="AD8" s="12">
        <f t="shared" si="0"/>
        <v>0.8334754662499898</v>
      </c>
      <c r="AE8" s="12">
        <f t="shared" si="0"/>
        <v>1.3388213728947576</v>
      </c>
      <c r="AF8" s="13">
        <f t="shared" si="0"/>
        <v>-0.50985434813354169</v>
      </c>
      <c r="AH8" t="str">
        <v>Motivate</v>
      </c>
      <c r="AI8" s="11" t="e">
        <f ca="1"/>
        <v>#NAME?</v>
      </c>
      <c r="AJ8" s="12" t="e">
        <f ca="1"/>
        <v>#NAME?</v>
      </c>
      <c r="AK8" s="12" t="e">
        <f ca="1"/>
        <v>#NAME?</v>
      </c>
      <c r="AL8" s="12" t="e">
        <f ca="1"/>
        <v>#NAME?</v>
      </c>
      <c r="AM8" s="12" t="e">
        <f ca="1"/>
        <v>#NAME?</v>
      </c>
      <c r="AN8" s="12" t="e">
        <f ca="1"/>
        <v>#NAME?</v>
      </c>
      <c r="AO8" s="12" t="e">
        <f ca="1"/>
        <v>#NAME?</v>
      </c>
      <c r="AP8" s="12" t="e">
        <f ca="1"/>
        <v>#NAME?</v>
      </c>
      <c r="AQ8" s="13" t="e">
        <f ca="1"/>
        <v>#NAME?</v>
      </c>
    </row>
    <row r="9" spans="1:58" x14ac:dyDescent="0.25">
      <c r="A9">
        <v>6</v>
      </c>
      <c r="B9" s="11">
        <v>4</v>
      </c>
      <c r="C9" s="12">
        <v>7</v>
      </c>
      <c r="D9" s="12">
        <v>3</v>
      </c>
      <c r="E9" s="12">
        <v>3</v>
      </c>
      <c r="F9" s="12">
        <v>6</v>
      </c>
      <c r="G9" s="12">
        <v>6</v>
      </c>
      <c r="H9" s="12">
        <v>1</v>
      </c>
      <c r="I9" s="12">
        <v>4</v>
      </c>
      <c r="J9" s="13">
        <v>7</v>
      </c>
      <c r="L9" s="36" t="s">
        <v>25</v>
      </c>
      <c r="M9">
        <v>-0.10524524027041282</v>
      </c>
      <c r="N9" s="12">
        <v>0.11666737388326577</v>
      </c>
      <c r="O9" s="12">
        <v>0.10626504883200422</v>
      </c>
      <c r="P9" s="12">
        <v>4.6109357219148737E-2</v>
      </c>
      <c r="Q9">
        <v>0.28436745486873338</v>
      </c>
      <c r="R9" s="12">
        <v>1</v>
      </c>
      <c r="S9" s="12">
        <f>CORREL($G$4:$G$123,H4:H123)</f>
        <v>0.10231072687883691</v>
      </c>
      <c r="T9" s="12">
        <f t="shared" ref="T9:U9" si="6">CORREL($G$4:$G$123,I4:I123)</f>
        <v>0.19515460623774084</v>
      </c>
      <c r="U9" s="12">
        <f t="shared" si="6"/>
        <v>-5.5294628532650186E-2</v>
      </c>
      <c r="W9">
        <f t="shared" si="3"/>
        <v>6</v>
      </c>
      <c r="X9" s="11">
        <f t="shared" si="0"/>
        <v>0.23034594857274363</v>
      </c>
      <c r="Y9" s="12">
        <f t="shared" si="0"/>
        <v>-2.0466892244816233</v>
      </c>
      <c r="Z9" s="12">
        <f t="shared" si="0"/>
        <v>-0.27284414885500391</v>
      </c>
      <c r="AA9" s="12">
        <f t="shared" si="0"/>
        <v>-0.378023241178091</v>
      </c>
      <c r="AB9" s="12">
        <f t="shared" si="0"/>
        <v>-0.74082110327654205</v>
      </c>
      <c r="AC9" s="12">
        <f t="shared" si="0"/>
        <v>-6.0876253646491192E-3</v>
      </c>
      <c r="AD9" s="12">
        <f t="shared" si="0"/>
        <v>-1.4835219688851171</v>
      </c>
      <c r="AE9" s="12">
        <f t="shared" si="0"/>
        <v>-0.76129058458721444</v>
      </c>
      <c r="AF9" s="13">
        <f t="shared" si="0"/>
        <v>-0.50985434813354169</v>
      </c>
      <c r="AH9" t="str">
        <v>Caring</v>
      </c>
      <c r="AI9" s="11" t="e">
        <f ca="1"/>
        <v>#NAME?</v>
      </c>
      <c r="AJ9" s="12" t="e">
        <f ca="1"/>
        <v>#NAME?</v>
      </c>
      <c r="AK9" s="12" t="e">
        <f ca="1"/>
        <v>#NAME?</v>
      </c>
      <c r="AL9" s="12" t="e">
        <f ca="1"/>
        <v>#NAME?</v>
      </c>
      <c r="AM9" s="12" t="e">
        <f ca="1"/>
        <v>#NAME?</v>
      </c>
      <c r="AN9" s="12" t="e">
        <f ca="1"/>
        <v>#NAME?</v>
      </c>
      <c r="AO9" s="12" t="e">
        <f ca="1"/>
        <v>#NAME?</v>
      </c>
      <c r="AP9" s="12" t="e">
        <f ca="1"/>
        <v>#NAME?</v>
      </c>
      <c r="AQ9" s="13" t="e">
        <f ca="1"/>
        <v>#NAME?</v>
      </c>
    </row>
    <row r="10" spans="1:58" x14ac:dyDescent="0.25">
      <c r="A10">
        <v>7</v>
      </c>
      <c r="B10" s="11">
        <v>4</v>
      </c>
      <c r="C10" s="12">
        <v>8</v>
      </c>
      <c r="D10" s="12">
        <v>4</v>
      </c>
      <c r="E10" s="12">
        <v>2</v>
      </c>
      <c r="F10" s="12">
        <v>6</v>
      </c>
      <c r="G10" s="12">
        <v>4</v>
      </c>
      <c r="H10" s="12">
        <v>5</v>
      </c>
      <c r="I10" s="12">
        <v>4</v>
      </c>
      <c r="J10" s="13">
        <v>7</v>
      </c>
      <c r="L10" s="36" t="s">
        <v>26</v>
      </c>
      <c r="M10">
        <v>-2.1890906215995602E-2</v>
      </c>
      <c r="N10" s="12">
        <v>0.45068677465590756</v>
      </c>
      <c r="O10" s="12">
        <v>0.74875752234637949</v>
      </c>
      <c r="P10" s="12">
        <v>0.24731764508778459</v>
      </c>
      <c r="Q10">
        <v>0.34434258129116868</v>
      </c>
      <c r="R10" s="12">
        <f>S9</f>
        <v>0.10231072687883691</v>
      </c>
      <c r="S10" s="12">
        <v>1</v>
      </c>
      <c r="T10" s="12">
        <f>CORREL($H$4:$H$123,I4:I123)</f>
        <v>0.4388047820689398</v>
      </c>
      <c r="U10" s="12">
        <f>CORREL($H$4:$H$123,J4:J123)</f>
        <v>0.10313209036584833</v>
      </c>
      <c r="W10">
        <f t="shared" si="3"/>
        <v>7</v>
      </c>
      <c r="X10" s="11">
        <f t="shared" si="0"/>
        <v>0.23034594857274363</v>
      </c>
      <c r="Y10" s="12">
        <f t="shared" si="0"/>
        <v>-0.29238417492594532</v>
      </c>
      <c r="Z10" s="12">
        <f t="shared" si="0"/>
        <v>0.33347618193389345</v>
      </c>
      <c r="AA10" s="12">
        <f t="shared" si="0"/>
        <v>-1.3641708268600676</v>
      </c>
      <c r="AB10" s="12">
        <f t="shared" si="0"/>
        <v>-0.74082110327654205</v>
      </c>
      <c r="AC10" s="12">
        <f t="shared" si="0"/>
        <v>-1.467117712880365</v>
      </c>
      <c r="AD10" s="12">
        <f t="shared" si="0"/>
        <v>6.1142987871620834E-2</v>
      </c>
      <c r="AE10" s="12">
        <f t="shared" si="0"/>
        <v>-0.76129058458721444</v>
      </c>
      <c r="AF10" s="13">
        <f t="shared" si="0"/>
        <v>-0.50985434813354169</v>
      </c>
      <c r="AH10" t="str">
        <v>Charisma</v>
      </c>
      <c r="AI10" s="11" t="e">
        <f ca="1"/>
        <v>#NAME?</v>
      </c>
      <c r="AJ10" s="12" t="e">
        <f ca="1"/>
        <v>#NAME?</v>
      </c>
      <c r="AK10" s="12" t="e">
        <f ca="1"/>
        <v>#NAME?</v>
      </c>
      <c r="AL10" s="12" t="e">
        <f ca="1"/>
        <v>#NAME?</v>
      </c>
      <c r="AM10" s="12" t="e">
        <f ca="1"/>
        <v>#NAME?</v>
      </c>
      <c r="AN10" s="12" t="e">
        <f ca="1"/>
        <v>#NAME?</v>
      </c>
      <c r="AO10" s="12" t="e">
        <f ca="1"/>
        <v>#NAME?</v>
      </c>
      <c r="AP10" s="12" t="e">
        <f ca="1"/>
        <v>#NAME?</v>
      </c>
      <c r="AQ10" s="13" t="e">
        <f ca="1"/>
        <v>#NAME?</v>
      </c>
    </row>
    <row r="11" spans="1:58" x14ac:dyDescent="0.25">
      <c r="A11">
        <v>8</v>
      </c>
      <c r="B11" s="11">
        <v>4</v>
      </c>
      <c r="C11" s="12">
        <v>8</v>
      </c>
      <c r="D11" s="12">
        <v>3</v>
      </c>
      <c r="E11" s="12">
        <v>3</v>
      </c>
      <c r="F11" s="12">
        <v>7</v>
      </c>
      <c r="G11" s="12">
        <v>5</v>
      </c>
      <c r="H11" s="12">
        <v>4</v>
      </c>
      <c r="I11" s="12">
        <v>4</v>
      </c>
      <c r="J11" s="13">
        <v>7</v>
      </c>
      <c r="L11" s="36" t="s">
        <v>27</v>
      </c>
      <c r="M11">
        <v>-0.12979427946395597</v>
      </c>
      <c r="N11" s="12">
        <v>0.3792596923750034</v>
      </c>
      <c r="O11" s="12">
        <v>0.36835923827531919</v>
      </c>
      <c r="P11" s="12">
        <v>0.25800736545459857</v>
      </c>
      <c r="Q11">
        <v>0.32646573442580373</v>
      </c>
      <c r="R11" s="12">
        <f>T9</f>
        <v>0.19515460623774084</v>
      </c>
      <c r="S11" s="12">
        <f>T10</f>
        <v>0.4388047820689398</v>
      </c>
      <c r="T11" s="12">
        <v>1</v>
      </c>
      <c r="U11" s="12">
        <f>CORREL($I$4:$I$123,J4:J123)</f>
        <v>8.8479441977977621E-2</v>
      </c>
      <c r="W11">
        <f t="shared" si="3"/>
        <v>8</v>
      </c>
      <c r="X11" s="11">
        <f t="shared" si="0"/>
        <v>0.23034594857274363</v>
      </c>
      <c r="Y11" s="12">
        <f t="shared" si="0"/>
        <v>-0.29238417492594532</v>
      </c>
      <c r="Z11" s="12">
        <f t="shared" si="0"/>
        <v>-0.27284414885500391</v>
      </c>
      <c r="AA11" s="12">
        <f t="shared" si="0"/>
        <v>-0.378023241178091</v>
      </c>
      <c r="AB11" s="12">
        <f t="shared" si="0"/>
        <v>0.30504398370210595</v>
      </c>
      <c r="AC11" s="12">
        <f t="shared" si="0"/>
        <v>-0.73660266912250705</v>
      </c>
      <c r="AD11" s="12">
        <f t="shared" si="0"/>
        <v>-0.32502325131756366</v>
      </c>
      <c r="AE11" s="12">
        <f t="shared" si="0"/>
        <v>-0.76129058458721444</v>
      </c>
      <c r="AF11" s="13">
        <f t="shared" si="0"/>
        <v>-0.50985434813354169</v>
      </c>
      <c r="AH11" t="str">
        <v>Passion</v>
      </c>
      <c r="AI11" s="11" t="e">
        <f ca="1"/>
        <v>#NAME?</v>
      </c>
      <c r="AJ11" s="12" t="e">
        <f ca="1"/>
        <v>#NAME?</v>
      </c>
      <c r="AK11" s="12" t="e">
        <f ca="1"/>
        <v>#NAME?</v>
      </c>
      <c r="AL11" s="12" t="e">
        <f ca="1"/>
        <v>#NAME?</v>
      </c>
      <c r="AM11" s="12" t="e">
        <f ca="1"/>
        <v>#NAME?</v>
      </c>
      <c r="AN11" s="12" t="e">
        <f ca="1"/>
        <v>#NAME?</v>
      </c>
      <c r="AO11" s="12" t="e">
        <f ca="1"/>
        <v>#NAME?</v>
      </c>
      <c r="AP11" s="12" t="e">
        <f ca="1"/>
        <v>#NAME?</v>
      </c>
      <c r="AQ11" s="13" t="e">
        <f ca="1"/>
        <v>#NAME?</v>
      </c>
    </row>
    <row r="12" spans="1:58" x14ac:dyDescent="0.25">
      <c r="A12">
        <v>9</v>
      </c>
      <c r="B12" s="11">
        <v>2</v>
      </c>
      <c r="C12" s="12">
        <v>8</v>
      </c>
      <c r="D12" s="12">
        <v>2</v>
      </c>
      <c r="E12" s="12">
        <v>2</v>
      </c>
      <c r="F12" s="12">
        <v>7</v>
      </c>
      <c r="G12" s="12">
        <v>6</v>
      </c>
      <c r="H12" s="12">
        <v>1</v>
      </c>
      <c r="I12" s="12">
        <v>4</v>
      </c>
      <c r="J12" s="13">
        <v>7</v>
      </c>
      <c r="L12" s="36" t="s">
        <v>28</v>
      </c>
      <c r="M12">
        <v>-0.34401036690229414</v>
      </c>
      <c r="N12" s="12">
        <v>0.40086949354334517</v>
      </c>
      <c r="O12" s="12">
        <v>6.9273962356186172E-3</v>
      </c>
      <c r="P12" s="12">
        <v>0.18590615055713788</v>
      </c>
      <c r="Q12">
        <v>3.7341657013804527E-2</v>
      </c>
      <c r="R12" s="15">
        <f>U9</f>
        <v>-5.5294628532650186E-2</v>
      </c>
      <c r="S12" s="15">
        <f>U10</f>
        <v>0.10313209036584833</v>
      </c>
      <c r="T12" s="15">
        <f>U11</f>
        <v>8.8479441977977621E-2</v>
      </c>
      <c r="U12" s="16">
        <v>1</v>
      </c>
      <c r="W12">
        <f t="shared" si="3"/>
        <v>9</v>
      </c>
      <c r="X12" s="11">
        <f t="shared" si="0"/>
        <v>-1.349169127354642</v>
      </c>
      <c r="Y12" s="12">
        <f t="shared" si="0"/>
        <v>-0.29238417492594532</v>
      </c>
      <c r="Z12" s="12">
        <f t="shared" si="0"/>
        <v>-0.87916447964390132</v>
      </c>
      <c r="AA12" s="12">
        <f t="shared" si="0"/>
        <v>-1.3641708268600676</v>
      </c>
      <c r="AB12" s="12">
        <f t="shared" si="0"/>
        <v>0.30504398370210595</v>
      </c>
      <c r="AC12" s="12">
        <f t="shared" si="0"/>
        <v>-6.0876253646491192E-3</v>
      </c>
      <c r="AD12" s="12">
        <f t="shared" si="0"/>
        <v>-1.4835219688851171</v>
      </c>
      <c r="AE12" s="12">
        <f t="shared" si="0"/>
        <v>-0.76129058458721444</v>
      </c>
      <c r="AF12" s="13">
        <f t="shared" si="0"/>
        <v>-0.50985434813354169</v>
      </c>
      <c r="AH12" t="str">
        <v>Friendly</v>
      </c>
      <c r="AI12" s="14" t="e">
        <f ca="1"/>
        <v>#NAME?</v>
      </c>
      <c r="AJ12" s="15" t="e">
        <f ca="1"/>
        <v>#NAME?</v>
      </c>
      <c r="AK12" s="15" t="e">
        <f ca="1"/>
        <v>#NAME?</v>
      </c>
      <c r="AL12" s="15" t="e">
        <f ca="1"/>
        <v>#NAME?</v>
      </c>
      <c r="AM12" s="15" t="e">
        <f ca="1"/>
        <v>#NAME?</v>
      </c>
      <c r="AN12" s="15" t="e">
        <f ca="1"/>
        <v>#NAME?</v>
      </c>
      <c r="AO12" s="15" t="e">
        <f ca="1"/>
        <v>#NAME?</v>
      </c>
      <c r="AP12" s="15" t="e">
        <f ca="1"/>
        <v>#NAME?</v>
      </c>
      <c r="AQ12" s="16" t="e">
        <f ca="1"/>
        <v>#NAME?</v>
      </c>
    </row>
    <row r="13" spans="1:58" x14ac:dyDescent="0.25">
      <c r="A13">
        <v>10</v>
      </c>
      <c r="B13" s="11">
        <v>4</v>
      </c>
      <c r="C13" s="12">
        <v>8</v>
      </c>
      <c r="D13" s="12">
        <v>3</v>
      </c>
      <c r="E13" s="12">
        <v>4</v>
      </c>
      <c r="F13" s="12">
        <v>8</v>
      </c>
      <c r="G13" s="12">
        <v>7</v>
      </c>
      <c r="H13" s="12">
        <v>4</v>
      </c>
      <c r="I13" s="12">
        <v>4</v>
      </c>
      <c r="J13" s="13">
        <v>8</v>
      </c>
      <c r="W13">
        <f t="shared" si="3"/>
        <v>10</v>
      </c>
      <c r="X13" s="11">
        <f t="shared" si="0"/>
        <v>0.23034594857274363</v>
      </c>
      <c r="Y13" s="12">
        <f t="shared" si="0"/>
        <v>-0.29238417492594532</v>
      </c>
      <c r="Z13" s="12">
        <f t="shared" si="0"/>
        <v>-0.27284414885500391</v>
      </c>
      <c r="AA13" s="12">
        <f t="shared" si="0"/>
        <v>0.60812434450388564</v>
      </c>
      <c r="AB13" s="12">
        <f t="shared" si="0"/>
        <v>1.3509090706807538</v>
      </c>
      <c r="AC13" s="12">
        <f t="shared" si="0"/>
        <v>0.72442741839320879</v>
      </c>
      <c r="AD13" s="12">
        <f t="shared" si="0"/>
        <v>-0.32502325131756366</v>
      </c>
      <c r="AE13" s="12">
        <f t="shared" si="0"/>
        <v>-0.76129058458721444</v>
      </c>
      <c r="AF13" s="13">
        <f t="shared" si="0"/>
        <v>1.1896601456449316</v>
      </c>
    </row>
    <row r="14" spans="1:58" x14ac:dyDescent="0.25">
      <c r="A14">
        <v>11</v>
      </c>
      <c r="B14" s="11">
        <v>3</v>
      </c>
      <c r="C14" s="12">
        <v>10</v>
      </c>
      <c r="D14" s="12">
        <v>5</v>
      </c>
      <c r="E14" s="12">
        <v>4</v>
      </c>
      <c r="F14" s="12">
        <v>7</v>
      </c>
      <c r="G14" s="12">
        <v>8</v>
      </c>
      <c r="H14" s="12">
        <v>7</v>
      </c>
      <c r="I14" s="12">
        <v>6</v>
      </c>
      <c r="J14" s="13">
        <v>8</v>
      </c>
      <c r="N14" s="2"/>
      <c r="W14">
        <f t="shared" si="3"/>
        <v>11</v>
      </c>
      <c r="X14" s="11">
        <f t="shared" si="0"/>
        <v>-0.55941158939094915</v>
      </c>
      <c r="Y14" s="12">
        <f t="shared" si="0"/>
        <v>3.2162259241854105</v>
      </c>
      <c r="Z14" s="12">
        <f t="shared" si="0"/>
        <v>0.93979651272279086</v>
      </c>
      <c r="AA14" s="12">
        <f t="shared" si="0"/>
        <v>0.60812434450388564</v>
      </c>
      <c r="AB14" s="12">
        <f t="shared" si="0"/>
        <v>0.30504398370210595</v>
      </c>
      <c r="AC14" s="12">
        <f t="shared" si="0"/>
        <v>1.4549424621510667</v>
      </c>
      <c r="AD14" s="12">
        <f t="shared" si="0"/>
        <v>0.8334754662499898</v>
      </c>
      <c r="AE14" s="12">
        <f t="shared" si="0"/>
        <v>1.3388213728947576</v>
      </c>
      <c r="AF14" s="13">
        <f t="shared" si="0"/>
        <v>1.1896601456449316</v>
      </c>
      <c r="AI14" t="s">
        <v>29</v>
      </c>
      <c r="AJ14" s="2" t="e">
        <f ca="1">MDETERM(AI4:AQ12)</f>
        <v>#NAME?</v>
      </c>
    </row>
    <row r="15" spans="1:58" x14ac:dyDescent="0.25">
      <c r="A15">
        <v>12</v>
      </c>
      <c r="B15" s="11">
        <v>1</v>
      </c>
      <c r="C15" s="12">
        <v>9</v>
      </c>
      <c r="D15" s="12">
        <v>2</v>
      </c>
      <c r="E15" s="12">
        <v>5</v>
      </c>
      <c r="F15" s="12">
        <v>9</v>
      </c>
      <c r="G15" s="12">
        <v>7</v>
      </c>
      <c r="H15" s="12">
        <v>5</v>
      </c>
      <c r="I15" s="12">
        <v>6</v>
      </c>
      <c r="J15" s="13">
        <v>9</v>
      </c>
      <c r="W15">
        <f t="shared" si="3"/>
        <v>12</v>
      </c>
      <c r="X15" s="11">
        <f t="shared" si="0"/>
        <v>-2.1389266653183348</v>
      </c>
      <c r="Y15" s="12">
        <f t="shared" si="0"/>
        <v>1.4619208746297327</v>
      </c>
      <c r="Z15" s="12">
        <f t="shared" si="0"/>
        <v>-0.87916447964390132</v>
      </c>
      <c r="AA15" s="12">
        <f t="shared" si="0"/>
        <v>1.5942719301858623</v>
      </c>
      <c r="AB15" s="12">
        <f t="shared" si="0"/>
        <v>2.3967741576594017</v>
      </c>
      <c r="AC15" s="12">
        <f t="shared" si="0"/>
        <v>0.72442741839320879</v>
      </c>
      <c r="AD15" s="12">
        <f t="shared" si="0"/>
        <v>6.1142987871620834E-2</v>
      </c>
      <c r="AE15" s="12">
        <f t="shared" si="0"/>
        <v>1.3388213728947576</v>
      </c>
      <c r="AF15" s="13">
        <f t="shared" si="0"/>
        <v>2.889174639423405</v>
      </c>
    </row>
    <row r="16" spans="1:58" x14ac:dyDescent="0.25">
      <c r="A16">
        <v>13</v>
      </c>
      <c r="B16" s="11">
        <v>5</v>
      </c>
      <c r="C16" s="12">
        <v>7</v>
      </c>
      <c r="D16" s="12">
        <v>2</v>
      </c>
      <c r="E16" s="12">
        <v>3</v>
      </c>
      <c r="F16" s="12">
        <v>6</v>
      </c>
      <c r="G16" s="12">
        <v>4</v>
      </c>
      <c r="H16" s="12">
        <v>2</v>
      </c>
      <c r="I16" s="12">
        <v>3</v>
      </c>
      <c r="J16" s="13">
        <v>6</v>
      </c>
      <c r="L16" s="6" t="s">
        <v>30</v>
      </c>
      <c r="W16">
        <f t="shared" si="3"/>
        <v>13</v>
      </c>
      <c r="X16" s="11">
        <f t="shared" si="0"/>
        <v>1.0201034865364365</v>
      </c>
      <c r="Y16" s="12">
        <f t="shared" si="0"/>
        <v>-2.0466892244816233</v>
      </c>
      <c r="Z16" s="12">
        <f t="shared" si="0"/>
        <v>-0.87916447964390132</v>
      </c>
      <c r="AA16" s="12">
        <f t="shared" si="0"/>
        <v>-0.378023241178091</v>
      </c>
      <c r="AB16" s="12">
        <f t="shared" si="0"/>
        <v>-0.74082110327654205</v>
      </c>
      <c r="AC16" s="12">
        <f t="shared" si="0"/>
        <v>-1.467117712880365</v>
      </c>
      <c r="AD16" s="12">
        <f t="shared" si="0"/>
        <v>-1.0973557296959326</v>
      </c>
      <c r="AE16" s="12">
        <f t="shared" si="0"/>
        <v>-1.8113465633282004</v>
      </c>
      <c r="AF16" s="13">
        <f t="shared" si="0"/>
        <v>-2.2093688419120152</v>
      </c>
      <c r="AH16" s="6" t="s">
        <v>30</v>
      </c>
    </row>
    <row r="17" spans="1:43" x14ac:dyDescent="0.25">
      <c r="A17">
        <v>14</v>
      </c>
      <c r="B17" s="11">
        <v>3</v>
      </c>
      <c r="C17" s="12">
        <v>7</v>
      </c>
      <c r="D17" s="12">
        <v>3</v>
      </c>
      <c r="E17" s="12">
        <v>4</v>
      </c>
      <c r="F17" s="12">
        <v>6</v>
      </c>
      <c r="G17" s="12">
        <v>7</v>
      </c>
      <c r="H17" s="12">
        <v>1</v>
      </c>
      <c r="I17" s="12">
        <v>3</v>
      </c>
      <c r="J17" s="13">
        <v>7</v>
      </c>
      <c r="W17">
        <f t="shared" si="3"/>
        <v>14</v>
      </c>
      <c r="X17" s="11">
        <f t="shared" si="0"/>
        <v>-0.55941158939094915</v>
      </c>
      <c r="Y17" s="12">
        <f t="shared" si="0"/>
        <v>-2.0466892244816233</v>
      </c>
      <c r="Z17" s="12">
        <f t="shared" si="0"/>
        <v>-0.27284414885500391</v>
      </c>
      <c r="AA17" s="12">
        <f t="shared" si="0"/>
        <v>0.60812434450388564</v>
      </c>
      <c r="AB17" s="12">
        <f t="shared" si="0"/>
        <v>-0.74082110327654205</v>
      </c>
      <c r="AC17" s="12">
        <f t="shared" si="0"/>
        <v>0.72442741839320879</v>
      </c>
      <c r="AD17" s="12">
        <f t="shared" si="0"/>
        <v>-1.4835219688851171</v>
      </c>
      <c r="AE17" s="12">
        <f t="shared" si="0"/>
        <v>-1.8113465633282004</v>
      </c>
      <c r="AF17" s="13">
        <f t="shared" si="0"/>
        <v>-0.50985434813354169</v>
      </c>
    </row>
    <row r="18" spans="1:43" x14ac:dyDescent="0.25">
      <c r="A18">
        <v>15</v>
      </c>
      <c r="B18" s="11">
        <v>2</v>
      </c>
      <c r="C18" s="12">
        <v>9</v>
      </c>
      <c r="D18" s="12">
        <v>6</v>
      </c>
      <c r="E18" s="12">
        <v>4</v>
      </c>
      <c r="F18" s="12">
        <v>6</v>
      </c>
      <c r="G18" s="12">
        <v>3</v>
      </c>
      <c r="H18" s="12">
        <v>8</v>
      </c>
      <c r="I18" s="12">
        <v>5</v>
      </c>
      <c r="J18" s="13">
        <v>7</v>
      </c>
      <c r="M18" s="17"/>
      <c r="N18" s="18"/>
      <c r="O18" s="18"/>
      <c r="P18" s="18"/>
      <c r="Q18" s="18"/>
      <c r="R18" s="18"/>
      <c r="S18" s="18"/>
      <c r="T18" s="18"/>
      <c r="U18" s="19"/>
      <c r="W18">
        <f t="shared" si="3"/>
        <v>15</v>
      </c>
      <c r="X18" s="11">
        <f t="shared" si="0"/>
        <v>-1.349169127354642</v>
      </c>
      <c r="Y18" s="12">
        <f t="shared" si="0"/>
        <v>1.4619208746297327</v>
      </c>
      <c r="Z18" s="12">
        <f t="shared" si="0"/>
        <v>1.5461168435116881</v>
      </c>
      <c r="AA18" s="12">
        <f t="shared" si="0"/>
        <v>0.60812434450388564</v>
      </c>
      <c r="AB18" s="12">
        <f t="shared" si="0"/>
        <v>-0.74082110327654205</v>
      </c>
      <c r="AC18" s="12">
        <f t="shared" si="0"/>
        <v>-2.1976327566382228</v>
      </c>
      <c r="AD18" s="12">
        <f t="shared" si="0"/>
        <v>1.2196417054391744</v>
      </c>
      <c r="AE18" s="12">
        <f t="shared" si="0"/>
        <v>0.2887653941537715</v>
      </c>
      <c r="AF18" s="13">
        <f t="shared" si="0"/>
        <v>-0.50985434813354169</v>
      </c>
      <c r="AI18" s="17" t="e">
        <f t="array" aca="1" ref="AI18:AQ27" ca="1">eVECTORS(AI4:AQ12)</f>
        <v>#NAME?</v>
      </c>
      <c r="AJ18" s="18" t="e">
        <f ca="1"/>
        <v>#NAME?</v>
      </c>
      <c r="AK18" s="18" t="e">
        <f ca="1"/>
        <v>#NAME?</v>
      </c>
      <c r="AL18" s="18" t="e">
        <f ca="1"/>
        <v>#NAME?</v>
      </c>
      <c r="AM18" s="18" t="e">
        <f ca="1"/>
        <v>#NAME?</v>
      </c>
      <c r="AN18" s="18" t="e">
        <f ca="1"/>
        <v>#NAME?</v>
      </c>
      <c r="AO18" s="18" t="e">
        <f ca="1"/>
        <v>#NAME?</v>
      </c>
      <c r="AP18" s="18" t="e">
        <f ca="1"/>
        <v>#NAME?</v>
      </c>
      <c r="AQ18" s="19" t="e">
        <f ca="1"/>
        <v>#NAME?</v>
      </c>
    </row>
    <row r="19" spans="1:43" x14ac:dyDescent="0.25">
      <c r="A19">
        <v>16</v>
      </c>
      <c r="B19" s="11">
        <v>7</v>
      </c>
      <c r="C19" s="12">
        <v>7</v>
      </c>
      <c r="D19" s="12">
        <v>2</v>
      </c>
      <c r="E19" s="12">
        <v>7</v>
      </c>
      <c r="F19" s="12">
        <v>6</v>
      </c>
      <c r="G19" s="12">
        <v>5</v>
      </c>
      <c r="H19" s="12">
        <v>1</v>
      </c>
      <c r="I19" s="12">
        <v>4</v>
      </c>
      <c r="J19" s="13">
        <v>7</v>
      </c>
      <c r="L19" t="str">
        <f t="array" ref="L19:L27">L4:L12</f>
        <v>Expect</v>
      </c>
      <c r="M19">
        <v>0.1086728</v>
      </c>
      <c r="N19">
        <v>0.63924828</v>
      </c>
      <c r="O19">
        <v>0.25729560000000001</v>
      </c>
      <c r="P19">
        <v>-0.11377569999999999</v>
      </c>
      <c r="Q19">
        <v>-0.41709285000000001</v>
      </c>
      <c r="R19" s="37">
        <v>9.5945440000000007E-2</v>
      </c>
      <c r="S19">
        <v>0.48082964</v>
      </c>
      <c r="T19">
        <v>0.28424031999999999</v>
      </c>
      <c r="U19">
        <v>-7.2417190000000006E-2</v>
      </c>
      <c r="W19">
        <f t="shared" si="3"/>
        <v>16</v>
      </c>
      <c r="X19" s="11">
        <f t="shared" si="0"/>
        <v>2.5996185624638222</v>
      </c>
      <c r="Y19" s="12">
        <f t="shared" si="0"/>
        <v>-2.0466892244816233</v>
      </c>
      <c r="Z19" s="12">
        <f t="shared" si="0"/>
        <v>-0.87916447964390132</v>
      </c>
      <c r="AA19" s="12">
        <f t="shared" si="0"/>
        <v>3.5665671015498153</v>
      </c>
      <c r="AB19" s="12">
        <f t="shared" si="0"/>
        <v>-0.74082110327654205</v>
      </c>
      <c r="AC19" s="12">
        <f t="shared" si="0"/>
        <v>-0.73660266912250705</v>
      </c>
      <c r="AD19" s="12">
        <f t="shared" si="0"/>
        <v>-1.4835219688851171</v>
      </c>
      <c r="AE19" s="12">
        <f t="shared" si="0"/>
        <v>-0.76129058458721444</v>
      </c>
      <c r="AF19" s="13">
        <f t="shared" si="0"/>
        <v>-0.50985434813354169</v>
      </c>
      <c r="AH19" t="str">
        <f t="array" ref="AH19:AH27">AH4:AH12</f>
        <v>Expect</v>
      </c>
      <c r="AI19" s="11" t="e">
        <f ca="1"/>
        <v>#NAME?</v>
      </c>
      <c r="AJ19" s="12" t="e">
        <f ca="1"/>
        <v>#NAME?</v>
      </c>
      <c r="AK19" s="12" t="e">
        <f ca="1"/>
        <v>#NAME?</v>
      </c>
      <c r="AL19" s="12" t="e">
        <f ca="1"/>
        <v>#NAME?</v>
      </c>
      <c r="AM19" s="12" t="e">
        <f ca="1"/>
        <v>#NAME?</v>
      </c>
      <c r="AN19" s="12" t="e">
        <f ca="1"/>
        <v>#NAME?</v>
      </c>
      <c r="AO19" s="12" t="e">
        <f ca="1"/>
        <v>#NAME?</v>
      </c>
      <c r="AP19" s="12" t="e">
        <f ca="1"/>
        <v>#NAME?</v>
      </c>
      <c r="AQ19" s="13" t="e">
        <f ca="1"/>
        <v>#NAME?</v>
      </c>
    </row>
    <row r="20" spans="1:43" x14ac:dyDescent="0.25">
      <c r="A20">
        <v>17</v>
      </c>
      <c r="B20" s="11">
        <v>2</v>
      </c>
      <c r="C20" s="12">
        <v>8</v>
      </c>
      <c r="D20" s="12">
        <v>3</v>
      </c>
      <c r="E20" s="12">
        <v>2</v>
      </c>
      <c r="F20" s="12">
        <v>6</v>
      </c>
      <c r="G20" s="12">
        <v>7</v>
      </c>
      <c r="H20" s="12">
        <v>4</v>
      </c>
      <c r="I20" s="12">
        <v>5</v>
      </c>
      <c r="J20" s="13">
        <v>7</v>
      </c>
      <c r="L20" s="20" t="str">
        <v>Entertain</v>
      </c>
      <c r="M20">
        <v>-0.41155510000000001</v>
      </c>
      <c r="N20">
        <v>-0.25314344</v>
      </c>
      <c r="O20">
        <v>0.18110409999999999</v>
      </c>
      <c r="P20">
        <v>0.26161990000000002</v>
      </c>
      <c r="Q20">
        <v>-0.33963617000000002</v>
      </c>
      <c r="R20" s="37">
        <v>-4.1004470000000001E-5</v>
      </c>
      <c r="S20">
        <v>0.43645310999999998</v>
      </c>
      <c r="T20">
        <v>-0.59253175000000002</v>
      </c>
      <c r="U20">
        <v>-9.1428529999999994E-2</v>
      </c>
      <c r="W20">
        <f t="shared" si="3"/>
        <v>17</v>
      </c>
      <c r="X20" s="11">
        <f t="shared" si="0"/>
        <v>-1.349169127354642</v>
      </c>
      <c r="Y20" s="12">
        <f t="shared" si="0"/>
        <v>-0.29238417492594532</v>
      </c>
      <c r="Z20" s="12">
        <f t="shared" si="0"/>
        <v>-0.27284414885500391</v>
      </c>
      <c r="AA20" s="12">
        <f t="shared" si="0"/>
        <v>-1.3641708268600676</v>
      </c>
      <c r="AB20" s="12">
        <f t="shared" si="0"/>
        <v>-0.74082110327654205</v>
      </c>
      <c r="AC20" s="12">
        <f t="shared" si="0"/>
        <v>0.72442741839320879</v>
      </c>
      <c r="AD20" s="12">
        <f t="shared" si="0"/>
        <v>-0.32502325131756366</v>
      </c>
      <c r="AE20" s="12">
        <f t="shared" si="0"/>
        <v>0.2887653941537715</v>
      </c>
      <c r="AF20" s="13">
        <f t="shared" si="0"/>
        <v>-0.50985434813354169</v>
      </c>
      <c r="AH20" s="20" t="str">
        <v>Entertain</v>
      </c>
      <c r="AI20" s="11" t="e">
        <f ca="1"/>
        <v>#NAME?</v>
      </c>
      <c r="AJ20" s="12" t="e">
        <f ca="1"/>
        <v>#NAME?</v>
      </c>
      <c r="AK20" s="12" t="e">
        <f ca="1"/>
        <v>#NAME?</v>
      </c>
      <c r="AL20" s="12" t="e">
        <f ca="1"/>
        <v>#NAME?</v>
      </c>
      <c r="AM20" s="12" t="e">
        <f ca="1"/>
        <v>#NAME?</v>
      </c>
      <c r="AN20" s="12" t="e">
        <f ca="1"/>
        <v>#NAME?</v>
      </c>
      <c r="AO20" s="12" t="e">
        <f ca="1"/>
        <v>#NAME?</v>
      </c>
      <c r="AP20" s="12" t="e">
        <f ca="1"/>
        <v>#NAME?</v>
      </c>
      <c r="AQ20" s="13" t="e">
        <f ca="1"/>
        <v>#NAME?</v>
      </c>
    </row>
    <row r="21" spans="1:43" x14ac:dyDescent="0.25">
      <c r="A21">
        <v>18</v>
      </c>
      <c r="B21" s="11">
        <v>4</v>
      </c>
      <c r="C21" s="12">
        <v>8</v>
      </c>
      <c r="D21" s="12">
        <v>4</v>
      </c>
      <c r="E21" s="12">
        <v>2</v>
      </c>
      <c r="F21" s="12">
        <v>7</v>
      </c>
      <c r="G21" s="12">
        <v>8</v>
      </c>
      <c r="H21" s="12">
        <v>4</v>
      </c>
      <c r="I21" s="12">
        <v>5</v>
      </c>
      <c r="J21" s="13">
        <v>7</v>
      </c>
      <c r="L21" t="str">
        <v>Comm</v>
      </c>
      <c r="M21">
        <v>-0.4443204</v>
      </c>
      <c r="N21">
        <v>0.29067886999999998</v>
      </c>
      <c r="O21">
        <v>0.18728040000000001</v>
      </c>
      <c r="P21">
        <v>0.30220259999999999</v>
      </c>
      <c r="Q21">
        <v>-3.0092029999999999E-2</v>
      </c>
      <c r="R21" s="37">
        <v>0.1325276</v>
      </c>
      <c r="S21">
        <v>-0.30089769999999999</v>
      </c>
      <c r="T21">
        <v>6.3954960000000005E-2</v>
      </c>
      <c r="U21">
        <v>0.69179913999999998</v>
      </c>
      <c r="W21">
        <f t="shared" si="3"/>
        <v>18</v>
      </c>
      <c r="X21" s="11">
        <f t="shared" si="0"/>
        <v>0.23034594857274363</v>
      </c>
      <c r="Y21" s="12">
        <f t="shared" si="0"/>
        <v>-0.29238417492594532</v>
      </c>
      <c r="Z21" s="12">
        <f t="shared" si="0"/>
        <v>0.33347618193389345</v>
      </c>
      <c r="AA21" s="12">
        <f t="shared" si="0"/>
        <v>-1.3641708268600676</v>
      </c>
      <c r="AB21" s="12">
        <f t="shared" si="0"/>
        <v>0.30504398370210595</v>
      </c>
      <c r="AC21" s="12">
        <f t="shared" si="0"/>
        <v>1.4549424621510667</v>
      </c>
      <c r="AD21" s="12">
        <f t="shared" si="0"/>
        <v>-0.32502325131756366</v>
      </c>
      <c r="AE21" s="12">
        <f t="shared" si="0"/>
        <v>0.2887653941537715</v>
      </c>
      <c r="AF21" s="13">
        <f t="shared" si="0"/>
        <v>-0.50985434813354169</v>
      </c>
      <c r="AH21" t="str">
        <v>Comm</v>
      </c>
      <c r="AI21" s="11" t="e">
        <f ca="1"/>
        <v>#NAME?</v>
      </c>
      <c r="AJ21" s="12" t="e">
        <f ca="1"/>
        <v>#NAME?</v>
      </c>
      <c r="AK21" s="12" t="e">
        <f ca="1"/>
        <v>#NAME?</v>
      </c>
      <c r="AL21" s="12" t="e">
        <f ca="1"/>
        <v>#NAME?</v>
      </c>
      <c r="AM21" s="12" t="e">
        <f ca="1"/>
        <v>#NAME?</v>
      </c>
      <c r="AN21" s="12" t="e">
        <f ca="1"/>
        <v>#NAME?</v>
      </c>
      <c r="AO21" s="12" t="e">
        <f ca="1"/>
        <v>#NAME?</v>
      </c>
      <c r="AP21" s="12" t="e">
        <f ca="1"/>
        <v>#NAME?</v>
      </c>
      <c r="AQ21" s="13" t="e">
        <f ca="1"/>
        <v>#NAME?</v>
      </c>
    </row>
    <row r="22" spans="1:43" x14ac:dyDescent="0.25">
      <c r="A22">
        <v>19</v>
      </c>
      <c r="B22" s="11">
        <v>2</v>
      </c>
      <c r="C22" s="12">
        <v>8</v>
      </c>
      <c r="D22" s="12">
        <v>2</v>
      </c>
      <c r="E22" s="12">
        <v>3</v>
      </c>
      <c r="F22" s="12">
        <v>5</v>
      </c>
      <c r="G22" s="12">
        <v>4</v>
      </c>
      <c r="H22" s="12">
        <v>6</v>
      </c>
      <c r="I22" s="12">
        <v>4</v>
      </c>
      <c r="J22" s="13">
        <v>9</v>
      </c>
      <c r="L22" t="str">
        <v>Expert</v>
      </c>
      <c r="M22">
        <v>-0.21563850000000001</v>
      </c>
      <c r="N22">
        <v>0.13550086</v>
      </c>
      <c r="O22">
        <v>0.18288109999999999</v>
      </c>
      <c r="P22">
        <v>-0.83964139999999998</v>
      </c>
      <c r="Q22">
        <v>-2.8151909999999999E-2</v>
      </c>
      <c r="R22" s="37">
        <v>8.2470010000000003E-3</v>
      </c>
      <c r="S22">
        <v>-0.22139123999999999</v>
      </c>
      <c r="T22">
        <v>-0.37879413000000001</v>
      </c>
      <c r="U22">
        <v>5.7764589999999998E-2</v>
      </c>
      <c r="W22">
        <f t="shared" si="3"/>
        <v>19</v>
      </c>
      <c r="X22" s="11">
        <f t="shared" si="0"/>
        <v>-1.349169127354642</v>
      </c>
      <c r="Y22" s="12">
        <f t="shared" si="0"/>
        <v>-0.29238417492594532</v>
      </c>
      <c r="Z22" s="12">
        <f t="shared" si="0"/>
        <v>-0.87916447964390132</v>
      </c>
      <c r="AA22" s="12">
        <f t="shared" si="0"/>
        <v>-0.378023241178091</v>
      </c>
      <c r="AB22" s="12">
        <f t="shared" si="0"/>
        <v>-1.78668619025519</v>
      </c>
      <c r="AC22" s="12">
        <f t="shared" si="0"/>
        <v>-1.467117712880365</v>
      </c>
      <c r="AD22" s="12">
        <f t="shared" si="0"/>
        <v>0.44730922706080534</v>
      </c>
      <c r="AE22" s="12">
        <f t="shared" si="0"/>
        <v>-0.76129058458721444</v>
      </c>
      <c r="AF22" s="13">
        <f t="shared" si="0"/>
        <v>2.889174639423405</v>
      </c>
      <c r="AH22" t="str">
        <v>Expert</v>
      </c>
      <c r="AI22" s="11" t="e">
        <f ca="1"/>
        <v>#NAME?</v>
      </c>
      <c r="AJ22" s="12" t="e">
        <f ca="1"/>
        <v>#NAME?</v>
      </c>
      <c r="AK22" s="12" t="e">
        <f ca="1"/>
        <v>#NAME?</v>
      </c>
      <c r="AL22" s="12" t="e">
        <f ca="1"/>
        <v>#NAME?</v>
      </c>
      <c r="AM22" s="12" t="e">
        <f ca="1"/>
        <v>#NAME?</v>
      </c>
      <c r="AN22" s="12" t="e">
        <f ca="1"/>
        <v>#NAME?</v>
      </c>
      <c r="AO22" s="12" t="e">
        <f ca="1"/>
        <v>#NAME?</v>
      </c>
      <c r="AP22" s="12" t="e">
        <f ca="1"/>
        <v>#NAME?</v>
      </c>
      <c r="AQ22" s="13" t="e">
        <f ca="1"/>
        <v>#NAME?</v>
      </c>
    </row>
    <row r="23" spans="1:43" x14ac:dyDescent="0.25">
      <c r="A23">
        <v>20</v>
      </c>
      <c r="B23" s="11">
        <v>3</v>
      </c>
      <c r="C23" s="12">
        <v>8</v>
      </c>
      <c r="D23" s="12">
        <v>6</v>
      </c>
      <c r="E23" s="12">
        <v>4</v>
      </c>
      <c r="F23" s="12">
        <v>9</v>
      </c>
      <c r="G23" s="12">
        <v>9</v>
      </c>
      <c r="H23" s="12">
        <v>8</v>
      </c>
      <c r="I23" s="12">
        <v>5</v>
      </c>
      <c r="J23" s="13">
        <v>7</v>
      </c>
      <c r="L23" t="str">
        <v>Motivate</v>
      </c>
      <c r="M23">
        <v>-0.34065990000000002</v>
      </c>
      <c r="N23">
        <v>3.6795370000000001E-2</v>
      </c>
      <c r="O23">
        <v>-0.41963149999999999</v>
      </c>
      <c r="P23">
        <v>-0.15599940000000001</v>
      </c>
      <c r="Q23">
        <v>0.42356978000000001</v>
      </c>
      <c r="R23" s="37">
        <v>0.55990859999999998</v>
      </c>
      <c r="S23">
        <v>0.42454929000000002</v>
      </c>
      <c r="T23">
        <v>8.8223689999999994E-2</v>
      </c>
      <c r="U23">
        <v>3.5155649999999997E-2</v>
      </c>
      <c r="W23">
        <f t="shared" si="3"/>
        <v>20</v>
      </c>
      <c r="X23" s="11">
        <f t="shared" si="0"/>
        <v>-0.55941158939094915</v>
      </c>
      <c r="Y23" s="12">
        <f t="shared" si="0"/>
        <v>-0.29238417492594532</v>
      </c>
      <c r="Z23" s="12">
        <f t="shared" si="0"/>
        <v>1.5461168435116881</v>
      </c>
      <c r="AA23" s="12">
        <f t="shared" si="0"/>
        <v>0.60812434450388564</v>
      </c>
      <c r="AB23" s="12">
        <f t="shared" si="0"/>
        <v>2.3967741576594017</v>
      </c>
      <c r="AC23" s="12">
        <f t="shared" si="0"/>
        <v>2.1854575059089245</v>
      </c>
      <c r="AD23" s="12">
        <f t="shared" si="0"/>
        <v>1.2196417054391744</v>
      </c>
      <c r="AE23" s="12">
        <f t="shared" si="0"/>
        <v>0.2887653941537715</v>
      </c>
      <c r="AF23" s="13">
        <f t="shared" si="0"/>
        <v>-0.50985434813354169</v>
      </c>
      <c r="AH23" t="str">
        <v>Motivate</v>
      </c>
      <c r="AI23" s="11" t="e">
        <f ca="1"/>
        <v>#NAME?</v>
      </c>
      <c r="AJ23" s="12" t="e">
        <f ca="1"/>
        <v>#NAME?</v>
      </c>
      <c r="AK23" s="12" t="e">
        <f ca="1"/>
        <v>#NAME?</v>
      </c>
      <c r="AL23" s="12" t="e">
        <f ca="1"/>
        <v>#NAME?</v>
      </c>
      <c r="AM23" s="12" t="e">
        <f ca="1"/>
        <v>#NAME?</v>
      </c>
      <c r="AN23" s="12" t="e">
        <f ca="1"/>
        <v>#NAME?</v>
      </c>
      <c r="AO23" s="12" t="e">
        <f ca="1"/>
        <v>#NAME?</v>
      </c>
      <c r="AP23" s="12" t="e">
        <f ca="1"/>
        <v>#NAME?</v>
      </c>
      <c r="AQ23" s="13" t="e">
        <f ca="1"/>
        <v>#NAME?</v>
      </c>
    </row>
    <row r="24" spans="1:43" x14ac:dyDescent="0.25">
      <c r="A24">
        <v>21</v>
      </c>
      <c r="B24" s="11">
        <v>5</v>
      </c>
      <c r="C24" s="12">
        <v>9</v>
      </c>
      <c r="D24" s="12">
        <v>3</v>
      </c>
      <c r="E24" s="12">
        <v>5</v>
      </c>
      <c r="F24" s="12">
        <v>6</v>
      </c>
      <c r="G24" s="12">
        <v>3</v>
      </c>
      <c r="H24" s="12">
        <v>3</v>
      </c>
      <c r="I24" s="12">
        <v>6</v>
      </c>
      <c r="J24" s="13">
        <v>8</v>
      </c>
      <c r="L24" t="str">
        <v>Caring</v>
      </c>
      <c r="M24">
        <v>-0.176567</v>
      </c>
      <c r="N24">
        <v>2.533519E-2</v>
      </c>
      <c r="O24">
        <v>-0.71451310000000001</v>
      </c>
      <c r="P24">
        <v>-6.2973500000000002E-2</v>
      </c>
      <c r="Q24">
        <v>-0.63254626000000003</v>
      </c>
      <c r="R24" s="37">
        <v>-2.9625180000000001E-2</v>
      </c>
      <c r="S24">
        <v>-0.21612683999999999</v>
      </c>
      <c r="T24">
        <v>7.2965600000000005E-2</v>
      </c>
      <c r="U24">
        <v>-2.569923E-2</v>
      </c>
      <c r="W24">
        <f t="shared" si="3"/>
        <v>21</v>
      </c>
      <c r="X24" s="11">
        <f t="shared" si="0"/>
        <v>1.0201034865364365</v>
      </c>
      <c r="Y24" s="12">
        <f t="shared" si="0"/>
        <v>1.4619208746297327</v>
      </c>
      <c r="Z24" s="12">
        <f t="shared" si="0"/>
        <v>-0.27284414885500391</v>
      </c>
      <c r="AA24" s="12">
        <f t="shared" si="0"/>
        <v>1.5942719301858623</v>
      </c>
      <c r="AB24" s="12">
        <f t="shared" si="0"/>
        <v>-0.74082110327654205</v>
      </c>
      <c r="AC24" s="12">
        <f t="shared" si="0"/>
        <v>-2.1976327566382228</v>
      </c>
      <c r="AD24" s="12">
        <f t="shared" si="0"/>
        <v>-0.71118949050674818</v>
      </c>
      <c r="AE24" s="12">
        <f t="shared" si="0"/>
        <v>1.3388213728947576</v>
      </c>
      <c r="AF24" s="13">
        <f t="shared" si="0"/>
        <v>1.1896601456449316</v>
      </c>
      <c r="AH24" t="str">
        <v>Caring</v>
      </c>
      <c r="AI24" s="11" t="e">
        <f ca="1"/>
        <v>#NAME?</v>
      </c>
      <c r="AJ24" s="12" t="e">
        <f ca="1"/>
        <v>#NAME?</v>
      </c>
      <c r="AK24" s="12" t="e">
        <f ca="1"/>
        <v>#NAME?</v>
      </c>
      <c r="AL24" s="12" t="e">
        <f ca="1"/>
        <v>#NAME?</v>
      </c>
      <c r="AM24" s="12" t="e">
        <f ca="1"/>
        <v>#NAME?</v>
      </c>
      <c r="AN24" s="12" t="e">
        <f ca="1"/>
        <v>#NAME?</v>
      </c>
      <c r="AO24" s="12" t="e">
        <f ca="1"/>
        <v>#NAME?</v>
      </c>
      <c r="AP24" s="12" t="e">
        <f ca="1"/>
        <v>#NAME?</v>
      </c>
      <c r="AQ24" s="13" t="e">
        <f ca="1"/>
        <v>#NAME?</v>
      </c>
    </row>
    <row r="25" spans="1:43" x14ac:dyDescent="0.25">
      <c r="A25">
        <v>22</v>
      </c>
      <c r="B25" s="11">
        <v>5</v>
      </c>
      <c r="C25" s="12">
        <v>8</v>
      </c>
      <c r="D25" s="12">
        <v>5</v>
      </c>
      <c r="E25" s="12">
        <v>3</v>
      </c>
      <c r="F25" s="12">
        <v>6</v>
      </c>
      <c r="G25" s="12">
        <v>4</v>
      </c>
      <c r="H25" s="12">
        <v>4</v>
      </c>
      <c r="I25" s="12">
        <v>3</v>
      </c>
      <c r="J25" s="13">
        <v>7</v>
      </c>
      <c r="L25" t="str">
        <v>Charisma</v>
      </c>
      <c r="M25">
        <v>-0.48149530000000001</v>
      </c>
      <c r="N25">
        <v>0.19955381999999999</v>
      </c>
      <c r="O25">
        <v>0.18029729999999999</v>
      </c>
      <c r="P25">
        <v>0.1644359</v>
      </c>
      <c r="Q25">
        <v>8.9082069999999999E-2</v>
      </c>
      <c r="R25" s="37">
        <v>9.9150810000000006E-2</v>
      </c>
      <c r="S25">
        <v>-0.36144072999999999</v>
      </c>
      <c r="T25">
        <v>0.16784172</v>
      </c>
      <c r="U25">
        <v>-0.70158215000000002</v>
      </c>
      <c r="W25">
        <f t="shared" si="3"/>
        <v>22</v>
      </c>
      <c r="X25" s="11">
        <f t="shared" si="0"/>
        <v>1.0201034865364365</v>
      </c>
      <c r="Y25" s="12">
        <f t="shared" si="0"/>
        <v>-0.29238417492594532</v>
      </c>
      <c r="Z25" s="12">
        <f t="shared" si="0"/>
        <v>0.93979651272279086</v>
      </c>
      <c r="AA25" s="12">
        <f t="shared" si="0"/>
        <v>-0.378023241178091</v>
      </c>
      <c r="AB25" s="12">
        <f t="shared" si="0"/>
        <v>-0.74082110327654205</v>
      </c>
      <c r="AC25" s="12">
        <f t="shared" si="0"/>
        <v>-1.467117712880365</v>
      </c>
      <c r="AD25" s="12">
        <f t="shared" si="0"/>
        <v>-0.32502325131756366</v>
      </c>
      <c r="AE25" s="12">
        <f t="shared" si="0"/>
        <v>-1.8113465633282004</v>
      </c>
      <c r="AF25" s="13">
        <f t="shared" si="0"/>
        <v>-0.50985434813354169</v>
      </c>
      <c r="AH25" t="str">
        <v>Charisma</v>
      </c>
      <c r="AI25" s="11" t="e">
        <f ca="1"/>
        <v>#NAME?</v>
      </c>
      <c r="AJ25" s="12" t="e">
        <f ca="1"/>
        <v>#NAME?</v>
      </c>
      <c r="AK25" s="12" t="e">
        <f ca="1"/>
        <v>#NAME?</v>
      </c>
      <c r="AL25" s="12" t="e">
        <f ca="1"/>
        <v>#NAME?</v>
      </c>
      <c r="AM25" s="12" t="e">
        <f ca="1"/>
        <v>#NAME?</v>
      </c>
      <c r="AN25" s="12" t="e">
        <f ca="1"/>
        <v>#NAME?</v>
      </c>
      <c r="AO25" s="12" t="e">
        <f ca="1"/>
        <v>#NAME?</v>
      </c>
      <c r="AP25" s="12" t="e">
        <f ca="1"/>
        <v>#NAME?</v>
      </c>
      <c r="AQ25" s="13" t="e">
        <f ca="1"/>
        <v>#NAME?</v>
      </c>
    </row>
    <row r="26" spans="1:43" x14ac:dyDescent="0.25">
      <c r="A26">
        <v>23</v>
      </c>
      <c r="B26" s="11">
        <v>4</v>
      </c>
      <c r="C26" s="12">
        <v>9</v>
      </c>
      <c r="D26" s="12">
        <v>4</v>
      </c>
      <c r="E26" s="12">
        <v>3</v>
      </c>
      <c r="F26" s="12">
        <v>7</v>
      </c>
      <c r="G26" s="12">
        <v>7</v>
      </c>
      <c r="H26" s="12">
        <v>7</v>
      </c>
      <c r="I26" s="12">
        <v>5</v>
      </c>
      <c r="J26" s="13">
        <v>7</v>
      </c>
      <c r="L26" t="str">
        <v>Passion</v>
      </c>
      <c r="M26">
        <v>-0.4053139</v>
      </c>
      <c r="N26">
        <v>2.943374E-2</v>
      </c>
      <c r="O26">
        <v>-0.1075513</v>
      </c>
      <c r="P26">
        <v>-0.1162147</v>
      </c>
      <c r="Q26">
        <v>0.21498491</v>
      </c>
      <c r="R26" s="37">
        <v>-0.78277719999999995</v>
      </c>
      <c r="S26">
        <v>0.28183459999999999</v>
      </c>
      <c r="T26">
        <v>0.25913254000000002</v>
      </c>
      <c r="U26">
        <v>6.513041E-2</v>
      </c>
      <c r="W26">
        <f t="shared" si="3"/>
        <v>23</v>
      </c>
      <c r="X26" s="11">
        <f t="shared" si="0"/>
        <v>0.23034594857274363</v>
      </c>
      <c r="Y26" s="12">
        <f t="shared" si="0"/>
        <v>1.4619208746297327</v>
      </c>
      <c r="Z26" s="12">
        <f t="shared" si="0"/>
        <v>0.33347618193389345</v>
      </c>
      <c r="AA26" s="12">
        <f t="shared" si="0"/>
        <v>-0.378023241178091</v>
      </c>
      <c r="AB26" s="12">
        <f t="shared" si="0"/>
        <v>0.30504398370210595</v>
      </c>
      <c r="AC26" s="12">
        <f t="shared" si="0"/>
        <v>0.72442741839320879</v>
      </c>
      <c r="AD26" s="12">
        <f t="shared" si="0"/>
        <v>0.8334754662499898</v>
      </c>
      <c r="AE26" s="12">
        <f t="shared" si="0"/>
        <v>0.2887653941537715</v>
      </c>
      <c r="AF26" s="13">
        <f t="shared" si="0"/>
        <v>-0.50985434813354169</v>
      </c>
      <c r="AH26" t="str">
        <v>Passion</v>
      </c>
      <c r="AI26" s="11" t="e">
        <f ca="1"/>
        <v>#NAME?</v>
      </c>
      <c r="AJ26" s="12" t="e">
        <f ca="1"/>
        <v>#NAME?</v>
      </c>
      <c r="AK26" s="12" t="e">
        <f ca="1"/>
        <v>#NAME?</v>
      </c>
      <c r="AL26" s="12" t="e">
        <f ca="1"/>
        <v>#NAME?</v>
      </c>
      <c r="AM26" s="12" t="e">
        <f ca="1"/>
        <v>#NAME?</v>
      </c>
      <c r="AN26" s="12" t="e">
        <f ca="1"/>
        <v>#NAME?</v>
      </c>
      <c r="AO26" s="12" t="e">
        <f ca="1"/>
        <v>#NAME?</v>
      </c>
      <c r="AP26" s="12" t="e">
        <f ca="1"/>
        <v>#NAME?</v>
      </c>
      <c r="AQ26" s="13" t="e">
        <f ca="1"/>
        <v>#NAME?</v>
      </c>
    </row>
    <row r="27" spans="1:43" x14ac:dyDescent="0.25">
      <c r="A27">
        <v>24</v>
      </c>
      <c r="B27" s="11">
        <v>4</v>
      </c>
      <c r="C27" s="12">
        <v>8</v>
      </c>
      <c r="D27" s="12">
        <v>3</v>
      </c>
      <c r="E27" s="12">
        <v>4</v>
      </c>
      <c r="F27" s="12">
        <v>6</v>
      </c>
      <c r="G27" s="12">
        <v>5</v>
      </c>
      <c r="H27" s="12">
        <v>7</v>
      </c>
      <c r="I27" s="12">
        <v>4</v>
      </c>
      <c r="J27" s="13">
        <v>8</v>
      </c>
      <c r="L27" t="str">
        <v>Friendly</v>
      </c>
      <c r="M27">
        <v>-0.17762259999999999</v>
      </c>
      <c r="N27">
        <v>-0.61785234</v>
      </c>
      <c r="O27">
        <v>0.31904060000000001</v>
      </c>
      <c r="P27">
        <v>-0.23116990000000001</v>
      </c>
      <c r="Q27">
        <v>-0.27441303</v>
      </c>
      <c r="R27" s="37">
        <v>0.19030620000000001</v>
      </c>
      <c r="S27">
        <v>4.1652960000000003E-2</v>
      </c>
      <c r="T27">
        <v>0.55866844000000004</v>
      </c>
      <c r="U27">
        <v>7.8217099999999998E-2</v>
      </c>
      <c r="W27">
        <f t="shared" si="3"/>
        <v>24</v>
      </c>
      <c r="X27" s="11">
        <f t="shared" si="0"/>
        <v>0.23034594857274363</v>
      </c>
      <c r="Y27" s="12">
        <f t="shared" si="0"/>
        <v>-0.29238417492594532</v>
      </c>
      <c r="Z27" s="12">
        <f t="shared" si="0"/>
        <v>-0.27284414885500391</v>
      </c>
      <c r="AA27" s="12">
        <f t="shared" si="0"/>
        <v>0.60812434450388564</v>
      </c>
      <c r="AB27" s="12">
        <f t="shared" si="0"/>
        <v>-0.74082110327654205</v>
      </c>
      <c r="AC27" s="12">
        <f t="shared" si="0"/>
        <v>-0.73660266912250705</v>
      </c>
      <c r="AD27" s="12">
        <f t="shared" si="0"/>
        <v>0.8334754662499898</v>
      </c>
      <c r="AE27" s="12">
        <f t="shared" si="0"/>
        <v>-0.76129058458721444</v>
      </c>
      <c r="AF27" s="13">
        <f t="shared" si="0"/>
        <v>1.1896601456449316</v>
      </c>
      <c r="AH27" t="str">
        <v>Friendly</v>
      </c>
      <c r="AI27" s="14" t="e">
        <f ca="1"/>
        <v>#NAME?</v>
      </c>
      <c r="AJ27" s="15" t="e">
        <f ca="1"/>
        <v>#NAME?</v>
      </c>
      <c r="AK27" s="15" t="e">
        <f ca="1"/>
        <v>#NAME?</v>
      </c>
      <c r="AL27" s="15" t="e">
        <f ca="1"/>
        <v>#NAME?</v>
      </c>
      <c r="AM27" s="15" t="e">
        <f ca="1"/>
        <v>#NAME?</v>
      </c>
      <c r="AN27" s="15" t="e">
        <f ca="1"/>
        <v>#NAME?</v>
      </c>
      <c r="AO27" s="15" t="e">
        <f ca="1"/>
        <v>#NAME?</v>
      </c>
      <c r="AP27" s="15" t="e">
        <f ca="1"/>
        <v>#NAME?</v>
      </c>
      <c r="AQ27" s="16" t="e">
        <f ca="1"/>
        <v>#NAME?</v>
      </c>
    </row>
    <row r="28" spans="1:43" x14ac:dyDescent="0.25">
      <c r="A28">
        <v>25</v>
      </c>
      <c r="B28" s="11">
        <v>2</v>
      </c>
      <c r="C28" s="12">
        <v>8</v>
      </c>
      <c r="D28" s="12">
        <v>2</v>
      </c>
      <c r="E28" s="12">
        <v>5</v>
      </c>
      <c r="F28" s="12">
        <v>6</v>
      </c>
      <c r="G28" s="12">
        <v>8</v>
      </c>
      <c r="H28" s="12">
        <v>4</v>
      </c>
      <c r="I28" s="12">
        <v>5</v>
      </c>
      <c r="J28" s="13">
        <v>8</v>
      </c>
      <c r="W28">
        <f t="shared" si="3"/>
        <v>25</v>
      </c>
      <c r="X28" s="11">
        <f t="shared" si="0"/>
        <v>-1.349169127354642</v>
      </c>
      <c r="Y28" s="12">
        <f t="shared" si="0"/>
        <v>-0.29238417492594532</v>
      </c>
      <c r="Z28" s="12">
        <f t="shared" si="0"/>
        <v>-0.87916447964390132</v>
      </c>
      <c r="AA28" s="12">
        <f t="shared" si="0"/>
        <v>1.5942719301858623</v>
      </c>
      <c r="AB28" s="12">
        <f t="shared" si="0"/>
        <v>-0.74082110327654205</v>
      </c>
      <c r="AC28" s="12">
        <f t="shared" si="0"/>
        <v>1.4549424621510667</v>
      </c>
      <c r="AD28" s="12">
        <f t="shared" si="0"/>
        <v>-0.32502325131756366</v>
      </c>
      <c r="AE28" s="12">
        <f t="shared" si="0"/>
        <v>0.2887653941537715</v>
      </c>
      <c r="AF28" s="13">
        <f t="shared" si="0"/>
        <v>1.1896601456449316</v>
      </c>
    </row>
    <row r="29" spans="1:43" x14ac:dyDescent="0.25">
      <c r="A29">
        <v>26</v>
      </c>
      <c r="B29" s="11">
        <v>4</v>
      </c>
      <c r="C29" s="12">
        <v>8</v>
      </c>
      <c r="D29" s="12">
        <v>6</v>
      </c>
      <c r="E29" s="12">
        <v>5</v>
      </c>
      <c r="F29" s="12">
        <v>8</v>
      </c>
      <c r="G29" s="12">
        <v>7</v>
      </c>
      <c r="H29" s="12">
        <v>9</v>
      </c>
      <c r="I29" s="12">
        <v>6</v>
      </c>
      <c r="J29" s="13">
        <v>7</v>
      </c>
      <c r="L29" s="6" t="s">
        <v>31</v>
      </c>
      <c r="W29">
        <f t="shared" si="3"/>
        <v>26</v>
      </c>
      <c r="X29" s="11">
        <f t="shared" si="0"/>
        <v>0.23034594857274363</v>
      </c>
      <c r="Y29" s="12">
        <f t="shared" si="0"/>
        <v>-0.29238417492594532</v>
      </c>
      <c r="Z29" s="12">
        <f t="shared" si="0"/>
        <v>1.5461168435116881</v>
      </c>
      <c r="AA29" s="12">
        <f t="shared" si="0"/>
        <v>1.5942719301858623</v>
      </c>
      <c r="AB29" s="12">
        <f t="shared" si="0"/>
        <v>1.3509090706807538</v>
      </c>
      <c r="AC29" s="12">
        <f t="shared" si="0"/>
        <v>0.72442741839320879</v>
      </c>
      <c r="AD29" s="12">
        <f t="shared" si="0"/>
        <v>1.6058079446283589</v>
      </c>
      <c r="AE29" s="12">
        <f t="shared" si="0"/>
        <v>1.3388213728947576</v>
      </c>
      <c r="AF29" s="13">
        <f t="shared" si="0"/>
        <v>-0.50985434813354169</v>
      </c>
      <c r="AH29" s="6" t="s">
        <v>31</v>
      </c>
    </row>
    <row r="30" spans="1:43" x14ac:dyDescent="0.25">
      <c r="A30">
        <v>27</v>
      </c>
      <c r="B30" s="11">
        <v>2</v>
      </c>
      <c r="C30" s="12">
        <v>8</v>
      </c>
      <c r="D30" s="12">
        <v>3</v>
      </c>
      <c r="E30" s="12">
        <v>3</v>
      </c>
      <c r="F30" s="12">
        <v>7</v>
      </c>
      <c r="G30" s="12">
        <v>5</v>
      </c>
      <c r="H30" s="12">
        <v>5</v>
      </c>
      <c r="I30" s="12">
        <v>5</v>
      </c>
      <c r="J30" s="13">
        <v>7</v>
      </c>
      <c r="R30" s="7" t="s">
        <v>32</v>
      </c>
      <c r="S30" s="7" t="s">
        <v>33</v>
      </c>
      <c r="T30" s="7" t="s">
        <v>34</v>
      </c>
      <c r="U30" s="7" t="s">
        <v>35</v>
      </c>
      <c r="W30">
        <f t="shared" si="3"/>
        <v>27</v>
      </c>
      <c r="X30" s="11">
        <f t="shared" si="0"/>
        <v>-1.349169127354642</v>
      </c>
      <c r="Y30" s="12">
        <f t="shared" si="0"/>
        <v>-0.29238417492594532</v>
      </c>
      <c r="Z30" s="12">
        <f t="shared" si="0"/>
        <v>-0.27284414885500391</v>
      </c>
      <c r="AA30" s="12">
        <f t="shared" si="0"/>
        <v>-0.378023241178091</v>
      </c>
      <c r="AB30" s="12">
        <f t="shared" si="0"/>
        <v>0.30504398370210595</v>
      </c>
      <c r="AC30" s="12">
        <f t="shared" si="0"/>
        <v>-0.73660266912250705</v>
      </c>
      <c r="AD30" s="12">
        <f t="shared" si="0"/>
        <v>6.1142987871620834E-2</v>
      </c>
      <c r="AE30" s="12">
        <f t="shared" si="0"/>
        <v>0.2887653941537715</v>
      </c>
      <c r="AF30" s="13">
        <f t="shared" si="0"/>
        <v>-0.50985434813354169</v>
      </c>
    </row>
    <row r="31" spans="1:43" x14ac:dyDescent="0.25">
      <c r="A31">
        <v>28</v>
      </c>
      <c r="B31" s="11">
        <v>2</v>
      </c>
      <c r="C31" s="12">
        <v>8</v>
      </c>
      <c r="D31" s="12">
        <v>1</v>
      </c>
      <c r="E31" s="12">
        <v>5</v>
      </c>
      <c r="F31" s="12">
        <v>6</v>
      </c>
      <c r="G31" s="12">
        <v>8</v>
      </c>
      <c r="H31" s="12">
        <v>7</v>
      </c>
      <c r="I31" s="12">
        <v>4</v>
      </c>
      <c r="J31" s="13">
        <v>8</v>
      </c>
      <c r="M31" s="7" t="s">
        <v>36</v>
      </c>
      <c r="N31" s="7" t="s">
        <v>37</v>
      </c>
      <c r="O31" s="7" t="s">
        <v>38</v>
      </c>
      <c r="R31" s="17">
        <f>M18</f>
        <v>0</v>
      </c>
      <c r="S31" s="18">
        <f>N18</f>
        <v>0</v>
      </c>
      <c r="T31" s="18">
        <f>O18</f>
        <v>0</v>
      </c>
      <c r="U31" s="19">
        <f>P18</f>
        <v>0</v>
      </c>
      <c r="W31">
        <f t="shared" si="3"/>
        <v>28</v>
      </c>
      <c r="X31" s="11">
        <f t="shared" si="0"/>
        <v>-1.349169127354642</v>
      </c>
      <c r="Y31" s="12">
        <f t="shared" si="0"/>
        <v>-0.29238417492594532</v>
      </c>
      <c r="Z31" s="12">
        <f t="shared" si="0"/>
        <v>-1.4854848104327987</v>
      </c>
      <c r="AA31" s="12">
        <f t="shared" si="0"/>
        <v>1.5942719301858623</v>
      </c>
      <c r="AB31" s="12">
        <f t="shared" si="0"/>
        <v>-0.74082110327654205</v>
      </c>
      <c r="AC31" s="12">
        <f t="shared" si="0"/>
        <v>1.4549424621510667</v>
      </c>
      <c r="AD31" s="12">
        <f t="shared" si="0"/>
        <v>0.8334754662499898</v>
      </c>
      <c r="AE31" s="12">
        <f t="shared" si="0"/>
        <v>-0.76129058458721444</v>
      </c>
      <c r="AF31" s="13">
        <f t="shared" si="0"/>
        <v>1.1896601456449316</v>
      </c>
      <c r="AH31" s="7" t="s">
        <v>36</v>
      </c>
      <c r="AI31" s="7" t="s">
        <v>37</v>
      </c>
      <c r="AJ31" s="7" t="s">
        <v>38</v>
      </c>
      <c r="AM31" s="17" t="e">
        <f t="shared" ref="AM31:AP40" ca="1" si="7">AI18</f>
        <v>#NAME?</v>
      </c>
      <c r="AN31" s="18" t="e">
        <f t="shared" ca="1" si="7"/>
        <v>#NAME?</v>
      </c>
      <c r="AO31" s="18" t="e">
        <f t="shared" ca="1" si="7"/>
        <v>#NAME?</v>
      </c>
      <c r="AP31" s="19" t="e">
        <f t="shared" ca="1" si="7"/>
        <v>#NAME?</v>
      </c>
      <c r="AQ31" s="21" t="s">
        <v>22</v>
      </c>
    </row>
    <row r="32" spans="1:43" x14ac:dyDescent="0.25">
      <c r="A32">
        <v>29</v>
      </c>
      <c r="B32" s="11">
        <v>5</v>
      </c>
      <c r="C32" s="12">
        <v>8</v>
      </c>
      <c r="D32" s="12">
        <v>3</v>
      </c>
      <c r="E32" s="12">
        <v>4</v>
      </c>
      <c r="F32" s="12">
        <v>7</v>
      </c>
      <c r="G32" s="12">
        <v>7</v>
      </c>
      <c r="H32" s="12">
        <v>1</v>
      </c>
      <c r="I32" s="12">
        <v>5</v>
      </c>
      <c r="J32" s="13">
        <v>7</v>
      </c>
      <c r="M32" s="3">
        <v>2.8804368999999999</v>
      </c>
      <c r="N32" s="22">
        <f>M32/M$41</f>
        <v>0.32004854444444442</v>
      </c>
      <c r="O32" s="23">
        <f>N32</f>
        <v>0.32004854444444442</v>
      </c>
      <c r="Q32" t="str">
        <f t="shared" ref="Q32:Q40" si="8">L4</f>
        <v>Expect</v>
      </c>
      <c r="R32" s="8">
        <f>-M19</f>
        <v>-0.1086728</v>
      </c>
      <c r="S32" s="9">
        <f t="shared" ref="S32:U40" si="9">N19</f>
        <v>0.63924828</v>
      </c>
      <c r="T32" s="9">
        <f t="shared" si="9"/>
        <v>0.25729560000000001</v>
      </c>
      <c r="U32" s="10">
        <f t="shared" si="9"/>
        <v>-0.11377569999999999</v>
      </c>
      <c r="W32">
        <f t="shared" si="3"/>
        <v>29</v>
      </c>
      <c r="X32" s="11">
        <f t="shared" si="0"/>
        <v>1.0201034865364365</v>
      </c>
      <c r="Y32" s="12">
        <f t="shared" si="0"/>
        <v>-0.29238417492594532</v>
      </c>
      <c r="Z32" s="12">
        <f t="shared" si="0"/>
        <v>-0.27284414885500391</v>
      </c>
      <c r="AA32" s="12">
        <f t="shared" ref="AA32:AF63" si="10">STANDARDIZE(E32,E$126,E$127)</f>
        <v>0.60812434450388564</v>
      </c>
      <c r="AB32" s="12">
        <f t="shared" si="10"/>
        <v>0.30504398370210595</v>
      </c>
      <c r="AC32" s="12">
        <f t="shared" si="10"/>
        <v>0.72442741839320879</v>
      </c>
      <c r="AD32" s="12">
        <f t="shared" si="10"/>
        <v>-1.4835219688851171</v>
      </c>
      <c r="AE32" s="12">
        <f t="shared" si="10"/>
        <v>0.2887653941537715</v>
      </c>
      <c r="AF32" s="13">
        <f t="shared" si="10"/>
        <v>-0.50985434813354169</v>
      </c>
      <c r="AH32" s="8" t="e">
        <f t="array" aca="1" ref="AH32:AH40" ca="1">TRANSPOSE(AI18:AQ18)</f>
        <v>#NAME?</v>
      </c>
      <c r="AI32" s="22" t="e">
        <f t="shared" ref="AI32:AI40" ca="1" si="11">AH32/AI$41</f>
        <v>#NAME?</v>
      </c>
      <c r="AJ32" s="23" t="e">
        <f ca="1">AI32</f>
        <v>#NAME?</v>
      </c>
      <c r="AL32" t="str">
        <f t="shared" ref="AL32:AL40" si="12">AH4</f>
        <v>Expect</v>
      </c>
      <c r="AM32" s="11" t="e">
        <f t="shared" ca="1" si="7"/>
        <v>#NAME?</v>
      </c>
      <c r="AN32" s="12" t="e">
        <f t="shared" ca="1" si="7"/>
        <v>#NAME?</v>
      </c>
      <c r="AO32" s="12" t="e">
        <f t="shared" ca="1" si="7"/>
        <v>#NAME?</v>
      </c>
      <c r="AP32" s="13" t="e">
        <f t="shared" ca="1" si="7"/>
        <v>#NAME?</v>
      </c>
      <c r="AQ32" s="24" t="e">
        <f ca="1">SUMSQ(AM32:AP32)</f>
        <v>#NAME?</v>
      </c>
    </row>
    <row r="33" spans="1:43" x14ac:dyDescent="0.25">
      <c r="A33">
        <v>30</v>
      </c>
      <c r="B33" s="11">
        <v>2</v>
      </c>
      <c r="C33" s="12">
        <v>8</v>
      </c>
      <c r="D33" s="12">
        <v>2</v>
      </c>
      <c r="E33" s="12">
        <v>4</v>
      </c>
      <c r="F33" s="12">
        <v>6</v>
      </c>
      <c r="G33" s="12">
        <v>5</v>
      </c>
      <c r="H33" s="12">
        <v>5</v>
      </c>
      <c r="I33" s="12">
        <v>5</v>
      </c>
      <c r="J33" s="13">
        <v>8</v>
      </c>
      <c r="M33" s="3">
        <v>1.4386544000000001</v>
      </c>
      <c r="N33" s="25">
        <f t="shared" ref="N32:N40" si="13">M33/M$41</f>
        <v>0.15985048888888889</v>
      </c>
      <c r="O33" s="26">
        <f>O32+N33</f>
        <v>0.47989903333333328</v>
      </c>
      <c r="Q33" t="str">
        <f t="shared" si="8"/>
        <v>Entertain</v>
      </c>
      <c r="R33" s="11">
        <f>-M20</f>
        <v>0.41155510000000001</v>
      </c>
      <c r="S33" s="12">
        <f t="shared" si="9"/>
        <v>-0.25314344</v>
      </c>
      <c r="T33" s="12">
        <f t="shared" si="9"/>
        <v>0.18110409999999999</v>
      </c>
      <c r="U33" s="13">
        <f t="shared" si="9"/>
        <v>0.26161990000000002</v>
      </c>
      <c r="W33">
        <f t="shared" si="3"/>
        <v>30</v>
      </c>
      <c r="X33" s="11">
        <f t="shared" ref="X33:AF64" si="14">STANDARDIZE(B33,B$126,B$127)</f>
        <v>-1.349169127354642</v>
      </c>
      <c r="Y33" s="12">
        <f t="shared" si="14"/>
        <v>-0.29238417492594532</v>
      </c>
      <c r="Z33" s="12">
        <f t="shared" si="14"/>
        <v>-0.87916447964390132</v>
      </c>
      <c r="AA33" s="12">
        <f t="shared" si="10"/>
        <v>0.60812434450388564</v>
      </c>
      <c r="AB33" s="12">
        <f t="shared" si="10"/>
        <v>-0.74082110327654205</v>
      </c>
      <c r="AC33" s="12">
        <f t="shared" si="10"/>
        <v>-0.73660266912250705</v>
      </c>
      <c r="AD33" s="12">
        <f t="shared" si="10"/>
        <v>6.1142987871620834E-2</v>
      </c>
      <c r="AE33" s="12">
        <f t="shared" si="10"/>
        <v>0.2887653941537715</v>
      </c>
      <c r="AF33" s="13">
        <f t="shared" si="10"/>
        <v>1.1896601456449316</v>
      </c>
      <c r="AH33" s="11" t="e">
        <f ca="1"/>
        <v>#NAME?</v>
      </c>
      <c r="AI33" s="25" t="e">
        <f t="shared" ca="1" si="11"/>
        <v>#NAME?</v>
      </c>
      <c r="AJ33" s="26" t="e">
        <f ca="1">AJ32+AI33</f>
        <v>#NAME?</v>
      </c>
      <c r="AL33" t="str">
        <f t="shared" si="12"/>
        <v>Entertain</v>
      </c>
      <c r="AM33" s="11" t="e">
        <f t="shared" ca="1" si="7"/>
        <v>#NAME?</v>
      </c>
      <c r="AN33" s="12" t="e">
        <f t="shared" ca="1" si="7"/>
        <v>#NAME?</v>
      </c>
      <c r="AO33" s="12" t="e">
        <f t="shared" ca="1" si="7"/>
        <v>#NAME?</v>
      </c>
      <c r="AP33" s="13" t="e">
        <f t="shared" ca="1" si="7"/>
        <v>#NAME?</v>
      </c>
      <c r="AQ33" s="24" t="e">
        <f t="shared" ref="AQ33:AQ40" ca="1" si="15">SUMSQ(AM33:AP33)</f>
        <v>#NAME?</v>
      </c>
    </row>
    <row r="34" spans="1:43" x14ac:dyDescent="0.25">
      <c r="A34">
        <v>31</v>
      </c>
      <c r="B34" s="11">
        <v>6</v>
      </c>
      <c r="C34" s="12">
        <v>8</v>
      </c>
      <c r="D34" s="12">
        <v>3</v>
      </c>
      <c r="E34" s="12">
        <v>1</v>
      </c>
      <c r="F34" s="12">
        <v>6</v>
      </c>
      <c r="G34" s="12">
        <v>8</v>
      </c>
      <c r="H34" s="12">
        <v>4</v>
      </c>
      <c r="I34" s="12">
        <v>4</v>
      </c>
      <c r="J34" s="13">
        <v>6</v>
      </c>
      <c r="M34" s="3">
        <v>1.1639297</v>
      </c>
      <c r="N34" s="25">
        <f t="shared" si="13"/>
        <v>0.12932552222222221</v>
      </c>
      <c r="O34" s="26">
        <f t="shared" ref="O34:O40" si="16">O33+N34</f>
        <v>0.60922455555555555</v>
      </c>
      <c r="Q34" t="str">
        <f t="shared" si="8"/>
        <v>Comm</v>
      </c>
      <c r="R34" s="11">
        <f t="shared" ref="R34:R40" si="17">-M21</f>
        <v>0.4443204</v>
      </c>
      <c r="S34" s="12">
        <f t="shared" si="9"/>
        <v>0.29067886999999998</v>
      </c>
      <c r="T34" s="12">
        <f t="shared" si="9"/>
        <v>0.18728040000000001</v>
      </c>
      <c r="U34" s="13">
        <f t="shared" si="9"/>
        <v>0.30220259999999999</v>
      </c>
      <c r="W34">
        <f t="shared" si="3"/>
        <v>31</v>
      </c>
      <c r="X34" s="11">
        <f t="shared" si="14"/>
        <v>1.8098610245001292</v>
      </c>
      <c r="Y34" s="12">
        <f t="shared" si="14"/>
        <v>-0.29238417492594532</v>
      </c>
      <c r="Z34" s="12">
        <f t="shared" si="14"/>
        <v>-0.27284414885500391</v>
      </c>
      <c r="AA34" s="12">
        <f t="shared" si="10"/>
        <v>-2.3503184125420442</v>
      </c>
      <c r="AB34" s="12">
        <f t="shared" si="10"/>
        <v>-0.74082110327654205</v>
      </c>
      <c r="AC34" s="12">
        <f t="shared" si="10"/>
        <v>1.4549424621510667</v>
      </c>
      <c r="AD34" s="12">
        <f t="shared" si="10"/>
        <v>-0.32502325131756366</v>
      </c>
      <c r="AE34" s="12">
        <f t="shared" si="10"/>
        <v>-0.76129058458721444</v>
      </c>
      <c r="AF34" s="13">
        <f t="shared" si="10"/>
        <v>-2.2093688419120152</v>
      </c>
      <c r="AH34" s="11" t="e">
        <f ca="1"/>
        <v>#NAME?</v>
      </c>
      <c r="AI34" s="25" t="e">
        <f t="shared" ca="1" si="11"/>
        <v>#NAME?</v>
      </c>
      <c r="AJ34" s="26" t="e">
        <f t="shared" ref="AJ34:AJ40" ca="1" si="18">AJ33+AI34</f>
        <v>#NAME?</v>
      </c>
      <c r="AL34" t="str">
        <f t="shared" si="12"/>
        <v>Comm</v>
      </c>
      <c r="AM34" s="11" t="e">
        <f t="shared" ca="1" si="7"/>
        <v>#NAME?</v>
      </c>
      <c r="AN34" s="12" t="e">
        <f t="shared" ca="1" si="7"/>
        <v>#NAME?</v>
      </c>
      <c r="AO34" s="12" t="e">
        <f t="shared" ca="1" si="7"/>
        <v>#NAME?</v>
      </c>
      <c r="AP34" s="13" t="e">
        <f t="shared" ca="1" si="7"/>
        <v>#NAME?</v>
      </c>
      <c r="AQ34" s="24" t="e">
        <f t="shared" ca="1" si="15"/>
        <v>#NAME?</v>
      </c>
    </row>
    <row r="35" spans="1:43" x14ac:dyDescent="0.25">
      <c r="A35">
        <v>32</v>
      </c>
      <c r="B35" s="11">
        <v>2</v>
      </c>
      <c r="C35" s="12">
        <v>8</v>
      </c>
      <c r="D35" s="12">
        <v>1</v>
      </c>
      <c r="E35" s="12">
        <v>3</v>
      </c>
      <c r="F35" s="12">
        <v>7</v>
      </c>
      <c r="G35" s="12">
        <v>7</v>
      </c>
      <c r="H35" s="12">
        <v>4</v>
      </c>
      <c r="I35" s="12">
        <v>6</v>
      </c>
      <c r="J35" s="13">
        <v>7</v>
      </c>
      <c r="M35" s="3">
        <v>1.0244527000000001</v>
      </c>
      <c r="N35" s="25">
        <f t="shared" si="13"/>
        <v>0.11382807777777779</v>
      </c>
      <c r="O35" s="26">
        <f t="shared" si="16"/>
        <v>0.72305263333333336</v>
      </c>
      <c r="Q35" t="str">
        <f t="shared" si="8"/>
        <v>Expert</v>
      </c>
      <c r="R35" s="11">
        <f t="shared" si="17"/>
        <v>0.21563850000000001</v>
      </c>
      <c r="S35" s="12">
        <f t="shared" si="9"/>
        <v>0.13550086</v>
      </c>
      <c r="T35" s="12">
        <f t="shared" si="9"/>
        <v>0.18288109999999999</v>
      </c>
      <c r="U35" s="13">
        <f t="shared" si="9"/>
        <v>-0.83964139999999998</v>
      </c>
      <c r="W35">
        <f t="shared" si="3"/>
        <v>32</v>
      </c>
      <c r="X35" s="11">
        <f t="shared" si="14"/>
        <v>-1.349169127354642</v>
      </c>
      <c r="Y35" s="12">
        <f t="shared" si="14"/>
        <v>-0.29238417492594532</v>
      </c>
      <c r="Z35" s="12">
        <f t="shared" si="14"/>
        <v>-1.4854848104327987</v>
      </c>
      <c r="AA35" s="12">
        <f t="shared" si="10"/>
        <v>-0.378023241178091</v>
      </c>
      <c r="AB35" s="12">
        <f t="shared" si="10"/>
        <v>0.30504398370210595</v>
      </c>
      <c r="AC35" s="12">
        <f t="shared" si="10"/>
        <v>0.72442741839320879</v>
      </c>
      <c r="AD35" s="12">
        <f t="shared" si="10"/>
        <v>-0.32502325131756366</v>
      </c>
      <c r="AE35" s="12">
        <f t="shared" si="10"/>
        <v>1.3388213728947576</v>
      </c>
      <c r="AF35" s="13">
        <f t="shared" si="10"/>
        <v>-0.50985434813354169</v>
      </c>
      <c r="AH35" s="11" t="e">
        <f ca="1"/>
        <v>#NAME?</v>
      </c>
      <c r="AI35" s="25" t="e">
        <f t="shared" ca="1" si="11"/>
        <v>#NAME?</v>
      </c>
      <c r="AJ35" s="26" t="e">
        <f t="shared" ca="1" si="18"/>
        <v>#NAME?</v>
      </c>
      <c r="AL35" t="str">
        <f t="shared" si="12"/>
        <v>Expert</v>
      </c>
      <c r="AM35" s="11" t="e">
        <f t="shared" ca="1" si="7"/>
        <v>#NAME?</v>
      </c>
      <c r="AN35" s="12" t="e">
        <f t="shared" ca="1" si="7"/>
        <v>#NAME?</v>
      </c>
      <c r="AO35" s="12" t="e">
        <f t="shared" ca="1" si="7"/>
        <v>#NAME?</v>
      </c>
      <c r="AP35" s="13" t="e">
        <f t="shared" ca="1" si="7"/>
        <v>#NAME?</v>
      </c>
      <c r="AQ35" s="24" t="e">
        <f t="shared" ca="1" si="15"/>
        <v>#NAME?</v>
      </c>
    </row>
    <row r="36" spans="1:43" x14ac:dyDescent="0.25">
      <c r="A36">
        <v>33</v>
      </c>
      <c r="B36" s="11">
        <v>4</v>
      </c>
      <c r="C36" s="12">
        <v>8</v>
      </c>
      <c r="D36" s="12">
        <v>2</v>
      </c>
      <c r="E36" s="12">
        <v>4</v>
      </c>
      <c r="F36" s="12">
        <v>6</v>
      </c>
      <c r="G36" s="12">
        <v>6</v>
      </c>
      <c r="H36" s="12">
        <v>1</v>
      </c>
      <c r="I36" s="12">
        <v>4</v>
      </c>
      <c r="J36" s="13">
        <v>6</v>
      </c>
      <c r="M36" s="3">
        <v>0.70520870000000002</v>
      </c>
      <c r="N36" s="25">
        <f t="shared" si="13"/>
        <v>7.8356522222222225E-2</v>
      </c>
      <c r="O36" s="26">
        <f t="shared" si="16"/>
        <v>0.80140915555555559</v>
      </c>
      <c r="Q36" t="str">
        <f t="shared" si="8"/>
        <v>Motivate</v>
      </c>
      <c r="R36" s="11">
        <f t="shared" si="17"/>
        <v>0.34065990000000002</v>
      </c>
      <c r="S36" s="12">
        <f t="shared" si="9"/>
        <v>3.6795370000000001E-2</v>
      </c>
      <c r="T36" s="12">
        <f t="shared" si="9"/>
        <v>-0.41963149999999999</v>
      </c>
      <c r="U36" s="13">
        <f t="shared" si="9"/>
        <v>-0.15599940000000001</v>
      </c>
      <c r="W36">
        <f t="shared" si="3"/>
        <v>33</v>
      </c>
      <c r="X36" s="11">
        <f t="shared" si="14"/>
        <v>0.23034594857274363</v>
      </c>
      <c r="Y36" s="12">
        <f t="shared" si="14"/>
        <v>-0.29238417492594532</v>
      </c>
      <c r="Z36" s="12">
        <f t="shared" si="14"/>
        <v>-0.87916447964390132</v>
      </c>
      <c r="AA36" s="12">
        <f t="shared" si="10"/>
        <v>0.60812434450388564</v>
      </c>
      <c r="AB36" s="12">
        <f t="shared" si="10"/>
        <v>-0.74082110327654205</v>
      </c>
      <c r="AC36" s="12">
        <f t="shared" si="10"/>
        <v>-6.0876253646491192E-3</v>
      </c>
      <c r="AD36" s="12">
        <f t="shared" si="10"/>
        <v>-1.4835219688851171</v>
      </c>
      <c r="AE36" s="12">
        <f t="shared" si="10"/>
        <v>-0.76129058458721444</v>
      </c>
      <c r="AF36" s="13">
        <f t="shared" si="10"/>
        <v>-2.2093688419120152</v>
      </c>
      <c r="AH36" s="11" t="e">
        <f ca="1"/>
        <v>#NAME?</v>
      </c>
      <c r="AI36" s="25" t="e">
        <f t="shared" ca="1" si="11"/>
        <v>#NAME?</v>
      </c>
      <c r="AJ36" s="26" t="e">
        <f t="shared" ca="1" si="18"/>
        <v>#NAME?</v>
      </c>
      <c r="AL36" t="str">
        <f t="shared" si="12"/>
        <v>Motivate</v>
      </c>
      <c r="AM36" s="11" t="e">
        <f t="shared" ca="1" si="7"/>
        <v>#NAME?</v>
      </c>
      <c r="AN36" s="12" t="e">
        <f t="shared" ca="1" si="7"/>
        <v>#NAME?</v>
      </c>
      <c r="AO36" s="12" t="e">
        <f t="shared" ca="1" si="7"/>
        <v>#NAME?</v>
      </c>
      <c r="AP36" s="13" t="e">
        <f t="shared" ca="1" si="7"/>
        <v>#NAME?</v>
      </c>
      <c r="AQ36" s="24" t="e">
        <f t="shared" ca="1" si="15"/>
        <v>#NAME?</v>
      </c>
    </row>
    <row r="37" spans="1:43" x14ac:dyDescent="0.25">
      <c r="A37">
        <v>34</v>
      </c>
      <c r="B37" s="11">
        <v>3</v>
      </c>
      <c r="C37" s="12">
        <v>9</v>
      </c>
      <c r="D37" s="12">
        <v>6</v>
      </c>
      <c r="E37" s="12">
        <v>3</v>
      </c>
      <c r="F37" s="12">
        <v>6</v>
      </c>
      <c r="G37" s="12">
        <v>5</v>
      </c>
      <c r="H37" s="12">
        <v>9</v>
      </c>
      <c r="I37" s="12">
        <v>5</v>
      </c>
      <c r="J37" s="13">
        <v>8</v>
      </c>
      <c r="M37" s="3">
        <v>0.64762339999999996</v>
      </c>
      <c r="N37" s="25">
        <f t="shared" si="13"/>
        <v>7.1958155555555556E-2</v>
      </c>
      <c r="O37" s="26">
        <f t="shared" si="16"/>
        <v>0.8733673111111111</v>
      </c>
      <c r="Q37" t="str">
        <f t="shared" si="8"/>
        <v>Caring</v>
      </c>
      <c r="R37" s="11">
        <f t="shared" si="17"/>
        <v>0.176567</v>
      </c>
      <c r="S37" s="12">
        <f t="shared" si="9"/>
        <v>2.533519E-2</v>
      </c>
      <c r="T37" s="12">
        <f t="shared" si="9"/>
        <v>-0.71451310000000001</v>
      </c>
      <c r="U37" s="13">
        <f t="shared" si="9"/>
        <v>-6.2973500000000002E-2</v>
      </c>
      <c r="W37">
        <f t="shared" si="3"/>
        <v>34</v>
      </c>
      <c r="X37" s="11">
        <f t="shared" si="14"/>
        <v>-0.55941158939094915</v>
      </c>
      <c r="Y37" s="12">
        <f t="shared" si="14"/>
        <v>1.4619208746297327</v>
      </c>
      <c r="Z37" s="12">
        <f t="shared" si="14"/>
        <v>1.5461168435116881</v>
      </c>
      <c r="AA37" s="12">
        <f t="shared" si="10"/>
        <v>-0.378023241178091</v>
      </c>
      <c r="AB37" s="12">
        <f t="shared" si="10"/>
        <v>-0.74082110327654205</v>
      </c>
      <c r="AC37" s="12">
        <f t="shared" si="10"/>
        <v>-0.73660266912250705</v>
      </c>
      <c r="AD37" s="12">
        <f t="shared" si="10"/>
        <v>1.6058079446283589</v>
      </c>
      <c r="AE37" s="12">
        <f t="shared" si="10"/>
        <v>0.2887653941537715</v>
      </c>
      <c r="AF37" s="13">
        <f t="shared" si="10"/>
        <v>1.1896601456449316</v>
      </c>
      <c r="AH37" s="11" t="e">
        <f ca="1"/>
        <v>#NAME?</v>
      </c>
      <c r="AI37" s="25" t="e">
        <f t="shared" ca="1" si="11"/>
        <v>#NAME?</v>
      </c>
      <c r="AJ37" s="26" t="e">
        <f t="shared" ca="1" si="18"/>
        <v>#NAME?</v>
      </c>
      <c r="AL37" t="str">
        <f t="shared" si="12"/>
        <v>Caring</v>
      </c>
      <c r="AM37" s="11" t="e">
        <f t="shared" ca="1" si="7"/>
        <v>#NAME?</v>
      </c>
      <c r="AN37" s="12" t="e">
        <f t="shared" ca="1" si="7"/>
        <v>#NAME?</v>
      </c>
      <c r="AO37" s="12" t="e">
        <f t="shared" ca="1" si="7"/>
        <v>#NAME?</v>
      </c>
      <c r="AP37" s="13" t="e">
        <f t="shared" ca="1" si="7"/>
        <v>#NAME?</v>
      </c>
      <c r="AQ37" s="24" t="e">
        <f t="shared" ca="1" si="15"/>
        <v>#NAME?</v>
      </c>
    </row>
    <row r="38" spans="1:43" x14ac:dyDescent="0.25">
      <c r="A38">
        <v>35</v>
      </c>
      <c r="B38" s="11">
        <v>2</v>
      </c>
      <c r="C38" s="12">
        <v>8</v>
      </c>
      <c r="D38" s="12">
        <v>2</v>
      </c>
      <c r="E38" s="12">
        <v>3</v>
      </c>
      <c r="F38" s="12">
        <v>8</v>
      </c>
      <c r="G38" s="12">
        <v>9</v>
      </c>
      <c r="H38" s="12">
        <v>3</v>
      </c>
      <c r="I38" s="12">
        <v>5</v>
      </c>
      <c r="J38" s="13">
        <v>7</v>
      </c>
      <c r="M38" s="3">
        <v>0.56239320000000004</v>
      </c>
      <c r="N38" s="25">
        <f t="shared" si="13"/>
        <v>6.2488133333333334E-2</v>
      </c>
      <c r="O38" s="26">
        <f t="shared" si="16"/>
        <v>0.93585544444444446</v>
      </c>
      <c r="Q38" t="str">
        <f t="shared" si="8"/>
        <v>Charisma</v>
      </c>
      <c r="R38" s="11">
        <f t="shared" si="17"/>
        <v>0.48149530000000001</v>
      </c>
      <c r="S38" s="12">
        <f t="shared" si="9"/>
        <v>0.19955381999999999</v>
      </c>
      <c r="T38" s="12">
        <f t="shared" si="9"/>
        <v>0.18029729999999999</v>
      </c>
      <c r="U38" s="13">
        <f t="shared" si="9"/>
        <v>0.1644359</v>
      </c>
      <c r="W38">
        <f t="shared" si="3"/>
        <v>35</v>
      </c>
      <c r="X38" s="11">
        <f t="shared" si="14"/>
        <v>-1.349169127354642</v>
      </c>
      <c r="Y38" s="12">
        <f t="shared" si="14"/>
        <v>-0.29238417492594532</v>
      </c>
      <c r="Z38" s="12">
        <f t="shared" si="14"/>
        <v>-0.87916447964390132</v>
      </c>
      <c r="AA38" s="12">
        <f t="shared" si="10"/>
        <v>-0.378023241178091</v>
      </c>
      <c r="AB38" s="12">
        <f t="shared" si="10"/>
        <v>1.3509090706807538</v>
      </c>
      <c r="AC38" s="12">
        <f t="shared" si="10"/>
        <v>2.1854575059089245</v>
      </c>
      <c r="AD38" s="12">
        <f t="shared" si="10"/>
        <v>-0.71118949050674818</v>
      </c>
      <c r="AE38" s="12">
        <f t="shared" si="10"/>
        <v>0.2887653941537715</v>
      </c>
      <c r="AF38" s="13">
        <f t="shared" si="10"/>
        <v>-0.50985434813354169</v>
      </c>
      <c r="AH38" s="11" t="e">
        <f ca="1"/>
        <v>#NAME?</v>
      </c>
      <c r="AI38" s="25" t="e">
        <f t="shared" ca="1" si="11"/>
        <v>#NAME?</v>
      </c>
      <c r="AJ38" s="26" t="e">
        <f t="shared" ca="1" si="18"/>
        <v>#NAME?</v>
      </c>
      <c r="AL38" t="str">
        <f t="shared" si="12"/>
        <v>Charisma</v>
      </c>
      <c r="AM38" s="11" t="e">
        <f t="shared" ca="1" si="7"/>
        <v>#NAME?</v>
      </c>
      <c r="AN38" s="12" t="e">
        <f t="shared" ca="1" si="7"/>
        <v>#NAME?</v>
      </c>
      <c r="AO38" s="12" t="e">
        <f t="shared" ca="1" si="7"/>
        <v>#NAME?</v>
      </c>
      <c r="AP38" s="13" t="e">
        <f t="shared" ca="1" si="7"/>
        <v>#NAME?</v>
      </c>
      <c r="AQ38" s="24" t="e">
        <f t="shared" ca="1" si="15"/>
        <v>#NAME?</v>
      </c>
    </row>
    <row r="39" spans="1:43" x14ac:dyDescent="0.25">
      <c r="A39">
        <v>36</v>
      </c>
      <c r="B39" s="11">
        <v>2</v>
      </c>
      <c r="C39" s="12">
        <v>8</v>
      </c>
      <c r="D39" s="12">
        <v>2</v>
      </c>
      <c r="E39" s="12">
        <v>3</v>
      </c>
      <c r="F39" s="12">
        <v>6</v>
      </c>
      <c r="G39" s="12">
        <v>5</v>
      </c>
      <c r="H39" s="12">
        <v>3</v>
      </c>
      <c r="I39" s="12">
        <v>5</v>
      </c>
      <c r="J39" s="13">
        <v>7</v>
      </c>
      <c r="M39" s="3">
        <v>0.34524840000000001</v>
      </c>
      <c r="N39" s="25">
        <f t="shared" si="13"/>
        <v>3.8360933333333333E-2</v>
      </c>
      <c r="O39" s="26">
        <f t="shared" si="16"/>
        <v>0.97421637777777781</v>
      </c>
      <c r="Q39" t="str">
        <f t="shared" si="8"/>
        <v>Passion</v>
      </c>
      <c r="R39" s="11">
        <f t="shared" si="17"/>
        <v>0.4053139</v>
      </c>
      <c r="S39" s="12">
        <f t="shared" si="9"/>
        <v>2.943374E-2</v>
      </c>
      <c r="T39" s="12">
        <f t="shared" si="9"/>
        <v>-0.1075513</v>
      </c>
      <c r="U39" s="13">
        <f t="shared" si="9"/>
        <v>-0.1162147</v>
      </c>
      <c r="W39">
        <f t="shared" si="3"/>
        <v>36</v>
      </c>
      <c r="X39" s="11">
        <f t="shared" si="14"/>
        <v>-1.349169127354642</v>
      </c>
      <c r="Y39" s="12">
        <f t="shared" si="14"/>
        <v>-0.29238417492594532</v>
      </c>
      <c r="Z39" s="12">
        <f t="shared" si="14"/>
        <v>-0.87916447964390132</v>
      </c>
      <c r="AA39" s="12">
        <f t="shared" si="10"/>
        <v>-0.378023241178091</v>
      </c>
      <c r="AB39" s="12">
        <f t="shared" si="10"/>
        <v>-0.74082110327654205</v>
      </c>
      <c r="AC39" s="12">
        <f t="shared" si="10"/>
        <v>-0.73660266912250705</v>
      </c>
      <c r="AD39" s="12">
        <f t="shared" si="10"/>
        <v>-0.71118949050674818</v>
      </c>
      <c r="AE39" s="12">
        <f t="shared" si="10"/>
        <v>0.2887653941537715</v>
      </c>
      <c r="AF39" s="13">
        <f t="shared" si="10"/>
        <v>-0.50985434813354169</v>
      </c>
      <c r="AH39" s="11" t="e">
        <f ca="1"/>
        <v>#NAME?</v>
      </c>
      <c r="AI39" s="25" t="e">
        <f t="shared" ca="1" si="11"/>
        <v>#NAME?</v>
      </c>
      <c r="AJ39" s="26" t="e">
        <f t="shared" ca="1" si="18"/>
        <v>#NAME?</v>
      </c>
      <c r="AL39" t="str">
        <f t="shared" si="12"/>
        <v>Passion</v>
      </c>
      <c r="AM39" s="11" t="e">
        <f t="shared" ca="1" si="7"/>
        <v>#NAME?</v>
      </c>
      <c r="AN39" s="12" t="e">
        <f t="shared" ca="1" si="7"/>
        <v>#NAME?</v>
      </c>
      <c r="AO39" s="12" t="e">
        <f t="shared" ca="1" si="7"/>
        <v>#NAME?</v>
      </c>
      <c r="AP39" s="13" t="e">
        <f t="shared" ca="1" si="7"/>
        <v>#NAME?</v>
      </c>
      <c r="AQ39" s="24" t="e">
        <f t="shared" ca="1" si="15"/>
        <v>#NAME?</v>
      </c>
    </row>
    <row r="40" spans="1:43" x14ac:dyDescent="0.25">
      <c r="A40">
        <v>37</v>
      </c>
      <c r="B40" s="11">
        <v>2</v>
      </c>
      <c r="C40" s="12">
        <v>8</v>
      </c>
      <c r="D40" s="12">
        <v>4</v>
      </c>
      <c r="E40" s="12">
        <v>2</v>
      </c>
      <c r="F40" s="12">
        <v>7</v>
      </c>
      <c r="G40" s="12">
        <v>7</v>
      </c>
      <c r="H40" s="12">
        <v>5</v>
      </c>
      <c r="I40" s="12">
        <v>5</v>
      </c>
      <c r="J40" s="13">
        <v>7</v>
      </c>
      <c r="M40" s="3">
        <v>0.2320526</v>
      </c>
      <c r="N40" s="27">
        <f t="shared" si="13"/>
        <v>2.5783622222222222E-2</v>
      </c>
      <c r="O40" s="28">
        <f t="shared" si="16"/>
        <v>1</v>
      </c>
      <c r="Q40" t="str">
        <f t="shared" si="8"/>
        <v>Friendly</v>
      </c>
      <c r="R40" s="14">
        <f t="shared" si="17"/>
        <v>0.17762259999999999</v>
      </c>
      <c r="S40" s="15">
        <f t="shared" si="9"/>
        <v>-0.61785234</v>
      </c>
      <c r="T40" s="15">
        <f t="shared" si="9"/>
        <v>0.31904060000000001</v>
      </c>
      <c r="U40" s="16">
        <f t="shared" si="9"/>
        <v>-0.23116990000000001</v>
      </c>
      <c r="W40">
        <f t="shared" si="3"/>
        <v>37</v>
      </c>
      <c r="X40" s="11">
        <f t="shared" si="14"/>
        <v>-1.349169127354642</v>
      </c>
      <c r="Y40" s="12">
        <f t="shared" si="14"/>
        <v>-0.29238417492594532</v>
      </c>
      <c r="Z40" s="12">
        <f t="shared" si="14"/>
        <v>0.33347618193389345</v>
      </c>
      <c r="AA40" s="12">
        <f t="shared" si="10"/>
        <v>-1.3641708268600676</v>
      </c>
      <c r="AB40" s="12">
        <f t="shared" si="10"/>
        <v>0.30504398370210595</v>
      </c>
      <c r="AC40" s="12">
        <f t="shared" si="10"/>
        <v>0.72442741839320879</v>
      </c>
      <c r="AD40" s="12">
        <f t="shared" si="10"/>
        <v>6.1142987871620834E-2</v>
      </c>
      <c r="AE40" s="12">
        <f t="shared" si="10"/>
        <v>0.2887653941537715</v>
      </c>
      <c r="AF40" s="13">
        <f t="shared" si="10"/>
        <v>-0.50985434813354169</v>
      </c>
      <c r="AH40" s="14" t="e">
        <f ca="1"/>
        <v>#NAME?</v>
      </c>
      <c r="AI40" s="27" t="e">
        <f t="shared" ca="1" si="11"/>
        <v>#NAME?</v>
      </c>
      <c r="AJ40" s="28" t="e">
        <f t="shared" ca="1" si="18"/>
        <v>#NAME?</v>
      </c>
      <c r="AL40" t="str">
        <f t="shared" si="12"/>
        <v>Friendly</v>
      </c>
      <c r="AM40" s="14" t="e">
        <f t="shared" ca="1" si="7"/>
        <v>#NAME?</v>
      </c>
      <c r="AN40" s="15" t="e">
        <f t="shared" ca="1" si="7"/>
        <v>#NAME?</v>
      </c>
      <c r="AO40" s="15" t="e">
        <f t="shared" ca="1" si="7"/>
        <v>#NAME?</v>
      </c>
      <c r="AP40" s="16" t="e">
        <f t="shared" ca="1" si="7"/>
        <v>#NAME?</v>
      </c>
      <c r="AQ40" s="29" t="e">
        <f t="shared" ca="1" si="15"/>
        <v>#NAME?</v>
      </c>
    </row>
    <row r="41" spans="1:43" x14ac:dyDescent="0.25">
      <c r="A41">
        <v>38</v>
      </c>
      <c r="B41" s="11">
        <v>5</v>
      </c>
      <c r="C41" s="12">
        <v>8</v>
      </c>
      <c r="D41" s="12">
        <v>5</v>
      </c>
      <c r="E41" s="12">
        <v>4</v>
      </c>
      <c r="F41" s="12">
        <v>7</v>
      </c>
      <c r="G41" s="12">
        <v>7</v>
      </c>
      <c r="H41" s="12">
        <v>7</v>
      </c>
      <c r="I41" s="12">
        <v>4</v>
      </c>
      <c r="J41" s="13">
        <v>7</v>
      </c>
      <c r="M41">
        <f>SUM(M32:M40)</f>
        <v>9</v>
      </c>
      <c r="W41">
        <f t="shared" si="3"/>
        <v>38</v>
      </c>
      <c r="X41" s="11">
        <f t="shared" si="14"/>
        <v>1.0201034865364365</v>
      </c>
      <c r="Y41" s="12">
        <f t="shared" si="14"/>
        <v>-0.29238417492594532</v>
      </c>
      <c r="Z41" s="12">
        <f t="shared" si="14"/>
        <v>0.93979651272279086</v>
      </c>
      <c r="AA41" s="12">
        <f t="shared" si="10"/>
        <v>0.60812434450388564</v>
      </c>
      <c r="AB41" s="12">
        <f t="shared" si="10"/>
        <v>0.30504398370210595</v>
      </c>
      <c r="AC41" s="12">
        <f t="shared" si="10"/>
        <v>0.72442741839320879</v>
      </c>
      <c r="AD41" s="12">
        <f t="shared" si="10"/>
        <v>0.8334754662499898</v>
      </c>
      <c r="AE41" s="12">
        <f t="shared" si="10"/>
        <v>-0.76129058458721444</v>
      </c>
      <c r="AF41" s="13">
        <f t="shared" si="10"/>
        <v>-0.50985434813354169</v>
      </c>
      <c r="AI41" t="e">
        <f ca="1">SUM(AH32:AH40)</f>
        <v>#NAME?</v>
      </c>
    </row>
    <row r="42" spans="1:43" x14ac:dyDescent="0.25">
      <c r="A42">
        <v>39</v>
      </c>
      <c r="B42" s="11">
        <v>1</v>
      </c>
      <c r="C42" s="12">
        <v>8</v>
      </c>
      <c r="D42" s="12">
        <v>3</v>
      </c>
      <c r="E42" s="12">
        <v>2</v>
      </c>
      <c r="F42" s="12">
        <v>7</v>
      </c>
      <c r="G42" s="12">
        <v>8</v>
      </c>
      <c r="H42" s="12">
        <v>4</v>
      </c>
      <c r="I42" s="12">
        <v>5</v>
      </c>
      <c r="J42" s="13">
        <v>8</v>
      </c>
      <c r="W42">
        <f t="shared" si="3"/>
        <v>39</v>
      </c>
      <c r="X42" s="11">
        <f t="shared" si="14"/>
        <v>-2.1389266653183348</v>
      </c>
      <c r="Y42" s="12">
        <f t="shared" si="14"/>
        <v>-0.29238417492594532</v>
      </c>
      <c r="Z42" s="12">
        <f t="shared" si="14"/>
        <v>-0.27284414885500391</v>
      </c>
      <c r="AA42" s="12">
        <f t="shared" si="10"/>
        <v>-1.3641708268600676</v>
      </c>
      <c r="AB42" s="12">
        <f t="shared" si="10"/>
        <v>0.30504398370210595</v>
      </c>
      <c r="AC42" s="12">
        <f t="shared" si="10"/>
        <v>1.4549424621510667</v>
      </c>
      <c r="AD42" s="12">
        <f t="shared" si="10"/>
        <v>-0.32502325131756366</v>
      </c>
      <c r="AE42" s="12">
        <f t="shared" si="10"/>
        <v>0.2887653941537715</v>
      </c>
      <c r="AF42" s="13">
        <f t="shared" si="10"/>
        <v>1.1896601456449316</v>
      </c>
    </row>
    <row r="43" spans="1:43" x14ac:dyDescent="0.25">
      <c r="A43">
        <v>40</v>
      </c>
      <c r="B43" s="11">
        <v>6</v>
      </c>
      <c r="C43" s="12">
        <v>8</v>
      </c>
      <c r="D43" s="12">
        <v>3</v>
      </c>
      <c r="E43" s="12">
        <v>3</v>
      </c>
      <c r="F43" s="12">
        <v>4</v>
      </c>
      <c r="G43" s="12">
        <v>6</v>
      </c>
      <c r="H43" s="12">
        <v>5</v>
      </c>
      <c r="I43" s="12">
        <v>5</v>
      </c>
      <c r="J43" s="13">
        <v>7</v>
      </c>
      <c r="W43">
        <f t="shared" si="3"/>
        <v>40</v>
      </c>
      <c r="X43" s="11">
        <f t="shared" si="14"/>
        <v>1.8098610245001292</v>
      </c>
      <c r="Y43" s="12">
        <f t="shared" si="14"/>
        <v>-0.29238417492594532</v>
      </c>
      <c r="Z43" s="12">
        <f t="shared" si="14"/>
        <v>-0.27284414885500391</v>
      </c>
      <c r="AA43" s="12">
        <f t="shared" si="10"/>
        <v>-0.378023241178091</v>
      </c>
      <c r="AB43" s="12">
        <f t="shared" si="10"/>
        <v>-2.8325512772338381</v>
      </c>
      <c r="AC43" s="12">
        <f t="shared" si="10"/>
        <v>-6.0876253646491192E-3</v>
      </c>
      <c r="AD43" s="12">
        <f t="shared" si="10"/>
        <v>6.1142987871620834E-2</v>
      </c>
      <c r="AE43" s="12">
        <f t="shared" si="10"/>
        <v>0.2887653941537715</v>
      </c>
      <c r="AF43" s="13">
        <f t="shared" si="10"/>
        <v>-0.50985434813354169</v>
      </c>
    </row>
    <row r="44" spans="1:43" x14ac:dyDescent="0.25">
      <c r="A44">
        <v>41</v>
      </c>
      <c r="B44" s="11">
        <v>4</v>
      </c>
      <c r="C44" s="12">
        <v>8</v>
      </c>
      <c r="D44" s="12">
        <v>3</v>
      </c>
      <c r="E44" s="12">
        <v>3</v>
      </c>
      <c r="F44" s="12">
        <v>9</v>
      </c>
      <c r="G44" s="12">
        <v>6</v>
      </c>
      <c r="H44" s="12">
        <v>4</v>
      </c>
      <c r="I44" s="12">
        <v>4</v>
      </c>
      <c r="J44" s="13">
        <v>7</v>
      </c>
      <c r="W44">
        <f t="shared" si="3"/>
        <v>41</v>
      </c>
      <c r="X44" s="11">
        <f t="shared" si="14"/>
        <v>0.23034594857274363</v>
      </c>
      <c r="Y44" s="12">
        <f t="shared" si="14"/>
        <v>-0.29238417492594532</v>
      </c>
      <c r="Z44" s="12">
        <f t="shared" si="14"/>
        <v>-0.27284414885500391</v>
      </c>
      <c r="AA44" s="12">
        <f t="shared" si="10"/>
        <v>-0.378023241178091</v>
      </c>
      <c r="AB44" s="12">
        <f t="shared" si="10"/>
        <v>2.3967741576594017</v>
      </c>
      <c r="AC44" s="12">
        <f t="shared" si="10"/>
        <v>-6.0876253646491192E-3</v>
      </c>
      <c r="AD44" s="12">
        <f t="shared" si="10"/>
        <v>-0.32502325131756366</v>
      </c>
      <c r="AE44" s="12">
        <f t="shared" si="10"/>
        <v>-0.76129058458721444</v>
      </c>
      <c r="AF44" s="13">
        <f t="shared" si="10"/>
        <v>-0.50985434813354169</v>
      </c>
    </row>
    <row r="45" spans="1:43" x14ac:dyDescent="0.25">
      <c r="A45">
        <v>42</v>
      </c>
      <c r="B45" s="11">
        <v>4</v>
      </c>
      <c r="C45" s="12">
        <v>8</v>
      </c>
      <c r="D45" s="12">
        <v>2</v>
      </c>
      <c r="E45" s="12">
        <v>3</v>
      </c>
      <c r="F45" s="12">
        <v>8</v>
      </c>
      <c r="G45" s="12">
        <v>5</v>
      </c>
      <c r="H45" s="12">
        <v>5</v>
      </c>
      <c r="I45" s="12">
        <v>5</v>
      </c>
      <c r="J45" s="13">
        <v>7</v>
      </c>
      <c r="W45">
        <f t="shared" si="3"/>
        <v>42</v>
      </c>
      <c r="X45" s="11">
        <f t="shared" si="14"/>
        <v>0.23034594857274363</v>
      </c>
      <c r="Y45" s="12">
        <f t="shared" si="14"/>
        <v>-0.29238417492594532</v>
      </c>
      <c r="Z45" s="12">
        <f t="shared" si="14"/>
        <v>-0.87916447964390132</v>
      </c>
      <c r="AA45" s="12">
        <f t="shared" si="10"/>
        <v>-0.378023241178091</v>
      </c>
      <c r="AB45" s="12">
        <f t="shared" si="10"/>
        <v>1.3509090706807538</v>
      </c>
      <c r="AC45" s="12">
        <f t="shared" si="10"/>
        <v>-0.73660266912250705</v>
      </c>
      <c r="AD45" s="12">
        <f t="shared" si="10"/>
        <v>6.1142987871620834E-2</v>
      </c>
      <c r="AE45" s="12">
        <f t="shared" si="10"/>
        <v>0.2887653941537715</v>
      </c>
      <c r="AF45" s="13">
        <f t="shared" si="10"/>
        <v>-0.50985434813354169</v>
      </c>
    </row>
    <row r="46" spans="1:43" x14ac:dyDescent="0.25">
      <c r="A46">
        <v>43</v>
      </c>
      <c r="B46" s="11">
        <v>3</v>
      </c>
      <c r="C46" s="12">
        <v>9</v>
      </c>
      <c r="D46" s="12">
        <v>7</v>
      </c>
      <c r="E46" s="12">
        <v>4</v>
      </c>
      <c r="F46" s="12">
        <v>8</v>
      </c>
      <c r="G46" s="12">
        <v>6</v>
      </c>
      <c r="H46" s="12">
        <v>10</v>
      </c>
      <c r="I46" s="12">
        <v>6</v>
      </c>
      <c r="J46" s="13">
        <v>8</v>
      </c>
      <c r="W46">
        <f t="shared" si="3"/>
        <v>43</v>
      </c>
      <c r="X46" s="11">
        <f t="shared" si="14"/>
        <v>-0.55941158939094915</v>
      </c>
      <c r="Y46" s="12">
        <f t="shared" si="14"/>
        <v>1.4619208746297327</v>
      </c>
      <c r="Z46" s="12">
        <f t="shared" si="14"/>
        <v>2.1524371743005855</v>
      </c>
      <c r="AA46" s="12">
        <f t="shared" si="10"/>
        <v>0.60812434450388564</v>
      </c>
      <c r="AB46" s="12">
        <f t="shared" si="10"/>
        <v>1.3509090706807538</v>
      </c>
      <c r="AC46" s="12">
        <f t="shared" si="10"/>
        <v>-6.0876253646491192E-3</v>
      </c>
      <c r="AD46" s="12">
        <f t="shared" si="10"/>
        <v>1.9919741838175433</v>
      </c>
      <c r="AE46" s="12">
        <f t="shared" si="10"/>
        <v>1.3388213728947576</v>
      </c>
      <c r="AF46" s="13">
        <f t="shared" si="10"/>
        <v>1.1896601456449316</v>
      </c>
    </row>
    <row r="47" spans="1:43" x14ac:dyDescent="0.25">
      <c r="A47">
        <v>44</v>
      </c>
      <c r="B47" s="11">
        <v>2</v>
      </c>
      <c r="C47" s="12">
        <v>9</v>
      </c>
      <c r="D47" s="12">
        <v>3</v>
      </c>
      <c r="E47" s="12">
        <v>4</v>
      </c>
      <c r="F47" s="12">
        <v>8</v>
      </c>
      <c r="G47" s="12">
        <v>8</v>
      </c>
      <c r="H47" s="12">
        <v>6</v>
      </c>
      <c r="I47" s="12">
        <v>7</v>
      </c>
      <c r="J47" s="13">
        <v>8</v>
      </c>
      <c r="W47">
        <f t="shared" si="3"/>
        <v>44</v>
      </c>
      <c r="X47" s="11">
        <f t="shared" si="14"/>
        <v>-1.349169127354642</v>
      </c>
      <c r="Y47" s="12">
        <f t="shared" si="14"/>
        <v>1.4619208746297327</v>
      </c>
      <c r="Z47" s="12">
        <f t="shared" si="14"/>
        <v>-0.27284414885500391</v>
      </c>
      <c r="AA47" s="12">
        <f t="shared" si="10"/>
        <v>0.60812434450388564</v>
      </c>
      <c r="AB47" s="12">
        <f t="shared" si="10"/>
        <v>1.3509090706807538</v>
      </c>
      <c r="AC47" s="12">
        <f t="shared" si="10"/>
        <v>1.4549424621510667</v>
      </c>
      <c r="AD47" s="12">
        <f t="shared" si="10"/>
        <v>0.44730922706080534</v>
      </c>
      <c r="AE47" s="12">
        <f t="shared" si="10"/>
        <v>2.3888773516357436</v>
      </c>
      <c r="AF47" s="13">
        <f t="shared" si="10"/>
        <v>1.1896601456449316</v>
      </c>
    </row>
    <row r="48" spans="1:43" x14ac:dyDescent="0.25">
      <c r="A48">
        <v>45</v>
      </c>
      <c r="B48" s="11">
        <v>5</v>
      </c>
      <c r="C48" s="12">
        <v>8</v>
      </c>
      <c r="D48" s="12">
        <v>1</v>
      </c>
      <c r="E48" s="12">
        <v>4</v>
      </c>
      <c r="F48" s="12">
        <v>7</v>
      </c>
      <c r="G48" s="12">
        <v>7</v>
      </c>
      <c r="H48" s="12">
        <v>1</v>
      </c>
      <c r="I48" s="12">
        <v>4</v>
      </c>
      <c r="J48" s="13">
        <v>8</v>
      </c>
      <c r="W48">
        <f t="shared" si="3"/>
        <v>45</v>
      </c>
      <c r="X48" s="11">
        <f t="shared" si="14"/>
        <v>1.0201034865364365</v>
      </c>
      <c r="Y48" s="12">
        <f t="shared" si="14"/>
        <v>-0.29238417492594532</v>
      </c>
      <c r="Z48" s="12">
        <f t="shared" si="14"/>
        <v>-1.4854848104327987</v>
      </c>
      <c r="AA48" s="12">
        <f t="shared" si="10"/>
        <v>0.60812434450388564</v>
      </c>
      <c r="AB48" s="12">
        <f t="shared" si="10"/>
        <v>0.30504398370210595</v>
      </c>
      <c r="AC48" s="12">
        <f t="shared" si="10"/>
        <v>0.72442741839320879</v>
      </c>
      <c r="AD48" s="12">
        <f t="shared" si="10"/>
        <v>-1.4835219688851171</v>
      </c>
      <c r="AE48" s="12">
        <f t="shared" si="10"/>
        <v>-0.76129058458721444</v>
      </c>
      <c r="AF48" s="13">
        <f t="shared" si="10"/>
        <v>1.1896601456449316</v>
      </c>
    </row>
    <row r="49" spans="1:49" x14ac:dyDescent="0.25">
      <c r="A49">
        <v>46</v>
      </c>
      <c r="B49" s="11">
        <v>5</v>
      </c>
      <c r="C49" s="12">
        <v>8</v>
      </c>
      <c r="D49" s="12">
        <v>2</v>
      </c>
      <c r="E49" s="12">
        <v>3</v>
      </c>
      <c r="F49" s="12">
        <v>6</v>
      </c>
      <c r="G49" s="12">
        <v>7</v>
      </c>
      <c r="H49" s="12">
        <v>4</v>
      </c>
      <c r="I49" s="12">
        <v>4</v>
      </c>
      <c r="J49" s="13">
        <v>8</v>
      </c>
      <c r="W49">
        <f t="shared" si="3"/>
        <v>46</v>
      </c>
      <c r="X49" s="11">
        <f t="shared" si="14"/>
        <v>1.0201034865364365</v>
      </c>
      <c r="Y49" s="12">
        <f t="shared" si="14"/>
        <v>-0.29238417492594532</v>
      </c>
      <c r="Z49" s="12">
        <f t="shared" si="14"/>
        <v>-0.87916447964390132</v>
      </c>
      <c r="AA49" s="12">
        <f t="shared" si="10"/>
        <v>-0.378023241178091</v>
      </c>
      <c r="AB49" s="12">
        <f t="shared" si="10"/>
        <v>-0.74082110327654205</v>
      </c>
      <c r="AC49" s="12">
        <f t="shared" si="10"/>
        <v>0.72442741839320879</v>
      </c>
      <c r="AD49" s="12">
        <f t="shared" si="10"/>
        <v>-0.32502325131756366</v>
      </c>
      <c r="AE49" s="12">
        <f t="shared" si="10"/>
        <v>-0.76129058458721444</v>
      </c>
      <c r="AF49" s="13">
        <f t="shared" si="10"/>
        <v>1.1896601456449316</v>
      </c>
    </row>
    <row r="50" spans="1:49" x14ac:dyDescent="0.25">
      <c r="A50">
        <v>47</v>
      </c>
      <c r="B50" s="11">
        <v>3</v>
      </c>
      <c r="C50" s="12">
        <v>8</v>
      </c>
      <c r="D50" s="12">
        <v>1</v>
      </c>
      <c r="E50" s="12">
        <v>3</v>
      </c>
      <c r="F50" s="12">
        <v>5</v>
      </c>
      <c r="G50" s="12">
        <v>5</v>
      </c>
      <c r="H50" s="12">
        <v>1</v>
      </c>
      <c r="I50" s="12">
        <v>5</v>
      </c>
      <c r="J50" s="13">
        <v>7</v>
      </c>
      <c r="W50">
        <f t="shared" si="3"/>
        <v>47</v>
      </c>
      <c r="X50" s="11">
        <f t="shared" si="14"/>
        <v>-0.55941158939094915</v>
      </c>
      <c r="Y50" s="12">
        <f t="shared" si="14"/>
        <v>-0.29238417492594532</v>
      </c>
      <c r="Z50" s="12">
        <f t="shared" si="14"/>
        <v>-1.4854848104327987</v>
      </c>
      <c r="AA50" s="12">
        <f t="shared" si="10"/>
        <v>-0.378023241178091</v>
      </c>
      <c r="AB50" s="12">
        <f t="shared" si="10"/>
        <v>-1.78668619025519</v>
      </c>
      <c r="AC50" s="12">
        <f t="shared" si="10"/>
        <v>-0.73660266912250705</v>
      </c>
      <c r="AD50" s="12">
        <f t="shared" si="10"/>
        <v>-1.4835219688851171</v>
      </c>
      <c r="AE50" s="12">
        <f t="shared" si="10"/>
        <v>0.2887653941537715</v>
      </c>
      <c r="AF50" s="13">
        <f t="shared" si="10"/>
        <v>-0.50985434813354169</v>
      </c>
    </row>
    <row r="51" spans="1:49" x14ac:dyDescent="0.25">
      <c r="A51">
        <v>48</v>
      </c>
      <c r="B51" s="11">
        <v>4</v>
      </c>
      <c r="C51" s="12">
        <v>9</v>
      </c>
      <c r="D51" s="12">
        <v>6</v>
      </c>
      <c r="E51" s="12">
        <v>3</v>
      </c>
      <c r="F51" s="12">
        <v>6</v>
      </c>
      <c r="G51" s="12">
        <v>4</v>
      </c>
      <c r="H51" s="12">
        <v>8</v>
      </c>
      <c r="I51" s="12">
        <v>5</v>
      </c>
      <c r="J51" s="13">
        <v>8</v>
      </c>
      <c r="W51">
        <f t="shared" si="3"/>
        <v>48</v>
      </c>
      <c r="X51" s="11">
        <f t="shared" si="14"/>
        <v>0.23034594857274363</v>
      </c>
      <c r="Y51" s="12">
        <f t="shared" si="14"/>
        <v>1.4619208746297327</v>
      </c>
      <c r="Z51" s="12">
        <f t="shared" si="14"/>
        <v>1.5461168435116881</v>
      </c>
      <c r="AA51" s="12">
        <f t="shared" si="10"/>
        <v>-0.378023241178091</v>
      </c>
      <c r="AB51" s="12">
        <f t="shared" si="10"/>
        <v>-0.74082110327654205</v>
      </c>
      <c r="AC51" s="12">
        <f t="shared" si="10"/>
        <v>-1.467117712880365</v>
      </c>
      <c r="AD51" s="12">
        <f t="shared" si="10"/>
        <v>1.2196417054391744</v>
      </c>
      <c r="AE51" s="12">
        <f t="shared" si="10"/>
        <v>0.2887653941537715</v>
      </c>
      <c r="AF51" s="13">
        <f t="shared" si="10"/>
        <v>1.1896601456449316</v>
      </c>
    </row>
    <row r="52" spans="1:49" x14ac:dyDescent="0.25">
      <c r="A52">
        <v>49</v>
      </c>
      <c r="B52" s="11">
        <v>3</v>
      </c>
      <c r="C52" s="12">
        <v>9</v>
      </c>
      <c r="D52" s="12">
        <v>4</v>
      </c>
      <c r="E52" s="12">
        <v>2</v>
      </c>
      <c r="F52" s="12">
        <v>7</v>
      </c>
      <c r="G52" s="12">
        <v>7</v>
      </c>
      <c r="H52" s="12">
        <v>2</v>
      </c>
      <c r="I52" s="12">
        <v>3</v>
      </c>
      <c r="J52" s="13">
        <v>8</v>
      </c>
      <c r="W52">
        <f t="shared" si="3"/>
        <v>49</v>
      </c>
      <c r="X52" s="11">
        <f t="shared" si="14"/>
        <v>-0.55941158939094915</v>
      </c>
      <c r="Y52" s="12">
        <f t="shared" si="14"/>
        <v>1.4619208746297327</v>
      </c>
      <c r="Z52" s="12">
        <f t="shared" si="14"/>
        <v>0.33347618193389345</v>
      </c>
      <c r="AA52" s="12">
        <f t="shared" si="10"/>
        <v>-1.3641708268600676</v>
      </c>
      <c r="AB52" s="12">
        <f t="shared" si="10"/>
        <v>0.30504398370210595</v>
      </c>
      <c r="AC52" s="12">
        <f t="shared" si="10"/>
        <v>0.72442741839320879</v>
      </c>
      <c r="AD52" s="12">
        <f t="shared" si="10"/>
        <v>-1.0973557296959326</v>
      </c>
      <c r="AE52" s="12">
        <f t="shared" si="10"/>
        <v>-1.8113465633282004</v>
      </c>
      <c r="AF52" s="13">
        <f t="shared" si="10"/>
        <v>1.1896601456449316</v>
      </c>
    </row>
    <row r="53" spans="1:49" x14ac:dyDescent="0.25">
      <c r="A53">
        <v>50</v>
      </c>
      <c r="B53" s="11">
        <v>3</v>
      </c>
      <c r="C53" s="12">
        <v>8</v>
      </c>
      <c r="D53" s="12">
        <v>3</v>
      </c>
      <c r="E53" s="12">
        <v>4</v>
      </c>
      <c r="F53" s="12">
        <v>7</v>
      </c>
      <c r="G53" s="12">
        <v>7</v>
      </c>
      <c r="H53" s="12">
        <v>5</v>
      </c>
      <c r="I53" s="12">
        <v>4</v>
      </c>
      <c r="J53" s="13">
        <v>8</v>
      </c>
      <c r="W53">
        <f t="shared" si="3"/>
        <v>50</v>
      </c>
      <c r="X53" s="11">
        <f t="shared" si="14"/>
        <v>-0.55941158939094915</v>
      </c>
      <c r="Y53" s="12">
        <f t="shared" si="14"/>
        <v>-0.29238417492594532</v>
      </c>
      <c r="Z53" s="12">
        <f t="shared" si="14"/>
        <v>-0.27284414885500391</v>
      </c>
      <c r="AA53" s="12">
        <f t="shared" si="10"/>
        <v>0.60812434450388564</v>
      </c>
      <c r="AB53" s="12">
        <f t="shared" si="10"/>
        <v>0.30504398370210595</v>
      </c>
      <c r="AC53" s="12">
        <f t="shared" si="10"/>
        <v>0.72442741839320879</v>
      </c>
      <c r="AD53" s="12">
        <f t="shared" si="10"/>
        <v>6.1142987871620834E-2</v>
      </c>
      <c r="AE53" s="12">
        <f t="shared" si="10"/>
        <v>-0.76129058458721444</v>
      </c>
      <c r="AF53" s="13">
        <f t="shared" si="10"/>
        <v>1.1896601456449316</v>
      </c>
    </row>
    <row r="54" spans="1:49" x14ac:dyDescent="0.25">
      <c r="A54">
        <v>51</v>
      </c>
      <c r="B54" s="11">
        <v>3</v>
      </c>
      <c r="C54" s="12">
        <v>7</v>
      </c>
      <c r="D54" s="12">
        <v>1</v>
      </c>
      <c r="E54" s="12">
        <v>4</v>
      </c>
      <c r="F54" s="12">
        <v>6</v>
      </c>
      <c r="G54" s="12">
        <v>4</v>
      </c>
      <c r="H54" s="12">
        <v>1</v>
      </c>
      <c r="I54" s="12">
        <v>6</v>
      </c>
      <c r="J54" s="13">
        <v>7</v>
      </c>
      <c r="W54">
        <f t="shared" si="3"/>
        <v>51</v>
      </c>
      <c r="X54" s="11">
        <f t="shared" si="14"/>
        <v>-0.55941158939094915</v>
      </c>
      <c r="Y54" s="12">
        <f t="shared" si="14"/>
        <v>-2.0466892244816233</v>
      </c>
      <c r="Z54" s="12">
        <f t="shared" si="14"/>
        <v>-1.4854848104327987</v>
      </c>
      <c r="AA54" s="12">
        <f t="shared" si="10"/>
        <v>0.60812434450388564</v>
      </c>
      <c r="AB54" s="12">
        <f t="shared" si="10"/>
        <v>-0.74082110327654205</v>
      </c>
      <c r="AC54" s="12">
        <f t="shared" si="10"/>
        <v>-1.467117712880365</v>
      </c>
      <c r="AD54" s="12">
        <f t="shared" si="10"/>
        <v>-1.4835219688851171</v>
      </c>
      <c r="AE54" s="12">
        <f t="shared" si="10"/>
        <v>1.3388213728947576</v>
      </c>
      <c r="AF54" s="13">
        <f t="shared" si="10"/>
        <v>-0.50985434813354169</v>
      </c>
    </row>
    <row r="55" spans="1:49" x14ac:dyDescent="0.25">
      <c r="A55">
        <v>52</v>
      </c>
      <c r="B55" s="11">
        <v>1</v>
      </c>
      <c r="C55" s="12">
        <v>8</v>
      </c>
      <c r="D55" s="12">
        <v>3</v>
      </c>
      <c r="E55" s="12">
        <v>4</v>
      </c>
      <c r="F55" s="12">
        <v>6</v>
      </c>
      <c r="G55" s="12">
        <v>3</v>
      </c>
      <c r="H55" s="12">
        <v>5</v>
      </c>
      <c r="I55" s="12">
        <v>4</v>
      </c>
      <c r="J55" s="13">
        <v>8</v>
      </c>
      <c r="W55">
        <f t="shared" si="3"/>
        <v>52</v>
      </c>
      <c r="X55" s="11">
        <f t="shared" si="14"/>
        <v>-2.1389266653183348</v>
      </c>
      <c r="Y55" s="12">
        <f t="shared" si="14"/>
        <v>-0.29238417492594532</v>
      </c>
      <c r="Z55" s="12">
        <f t="shared" si="14"/>
        <v>-0.27284414885500391</v>
      </c>
      <c r="AA55" s="12">
        <f t="shared" si="10"/>
        <v>0.60812434450388564</v>
      </c>
      <c r="AB55" s="12">
        <f t="shared" si="10"/>
        <v>-0.74082110327654205</v>
      </c>
      <c r="AC55" s="12">
        <f t="shared" si="10"/>
        <v>-2.1976327566382228</v>
      </c>
      <c r="AD55" s="12">
        <f t="shared" si="10"/>
        <v>6.1142987871620834E-2</v>
      </c>
      <c r="AE55" s="12">
        <f t="shared" si="10"/>
        <v>-0.76129058458721444</v>
      </c>
      <c r="AF55" s="13">
        <f t="shared" si="10"/>
        <v>1.1896601456449316</v>
      </c>
    </row>
    <row r="56" spans="1:49" x14ac:dyDescent="0.25">
      <c r="A56">
        <v>53</v>
      </c>
      <c r="B56" s="11">
        <v>4</v>
      </c>
      <c r="C56" s="12">
        <v>8</v>
      </c>
      <c r="D56" s="12">
        <v>6</v>
      </c>
      <c r="E56" s="12">
        <v>3</v>
      </c>
      <c r="F56" s="12">
        <v>7</v>
      </c>
      <c r="G56" s="12">
        <v>7</v>
      </c>
      <c r="H56" s="12">
        <v>8</v>
      </c>
      <c r="I56" s="12">
        <v>6</v>
      </c>
      <c r="J56" s="13">
        <v>7</v>
      </c>
      <c r="W56">
        <f t="shared" si="3"/>
        <v>53</v>
      </c>
      <c r="X56" s="11">
        <f t="shared" si="14"/>
        <v>0.23034594857274363</v>
      </c>
      <c r="Y56" s="12">
        <f t="shared" si="14"/>
        <v>-0.29238417492594532</v>
      </c>
      <c r="Z56" s="12">
        <f t="shared" si="14"/>
        <v>1.5461168435116881</v>
      </c>
      <c r="AA56" s="12">
        <f t="shared" si="10"/>
        <v>-0.378023241178091</v>
      </c>
      <c r="AB56" s="12">
        <f t="shared" si="10"/>
        <v>0.30504398370210595</v>
      </c>
      <c r="AC56" s="12">
        <f t="shared" si="10"/>
        <v>0.72442741839320879</v>
      </c>
      <c r="AD56" s="12">
        <f t="shared" si="10"/>
        <v>1.2196417054391744</v>
      </c>
      <c r="AE56" s="12">
        <f t="shared" si="10"/>
        <v>1.3388213728947576</v>
      </c>
      <c r="AF56" s="13">
        <f t="shared" si="10"/>
        <v>-0.50985434813354169</v>
      </c>
    </row>
    <row r="57" spans="1:49" x14ac:dyDescent="0.25">
      <c r="A57">
        <v>54</v>
      </c>
      <c r="B57" s="11">
        <v>3</v>
      </c>
      <c r="C57" s="12">
        <v>8</v>
      </c>
      <c r="D57" s="12">
        <v>4</v>
      </c>
      <c r="E57" s="12">
        <v>3</v>
      </c>
      <c r="F57" s="12">
        <v>5</v>
      </c>
      <c r="G57" s="12">
        <v>8</v>
      </c>
      <c r="H57" s="12">
        <v>1</v>
      </c>
      <c r="I57" s="12">
        <v>3</v>
      </c>
      <c r="J57" s="13">
        <v>7</v>
      </c>
      <c r="W57">
        <f t="shared" si="3"/>
        <v>54</v>
      </c>
      <c r="X57" s="11">
        <f t="shared" si="14"/>
        <v>-0.55941158939094915</v>
      </c>
      <c r="Y57" s="12">
        <f t="shared" si="14"/>
        <v>-0.29238417492594532</v>
      </c>
      <c r="Z57" s="12">
        <f t="shared" si="14"/>
        <v>0.33347618193389345</v>
      </c>
      <c r="AA57" s="12">
        <f t="shared" si="10"/>
        <v>-0.378023241178091</v>
      </c>
      <c r="AB57" s="12">
        <f t="shared" si="10"/>
        <v>-1.78668619025519</v>
      </c>
      <c r="AC57" s="12">
        <f t="shared" si="10"/>
        <v>1.4549424621510667</v>
      </c>
      <c r="AD57" s="12">
        <f t="shared" si="10"/>
        <v>-1.4835219688851171</v>
      </c>
      <c r="AE57" s="12">
        <f t="shared" si="10"/>
        <v>-1.8113465633282004</v>
      </c>
      <c r="AF57" s="13">
        <f t="shared" si="10"/>
        <v>-0.50985434813354169</v>
      </c>
    </row>
    <row r="58" spans="1:49" x14ac:dyDescent="0.25">
      <c r="A58">
        <v>55</v>
      </c>
      <c r="B58" s="11">
        <v>2</v>
      </c>
      <c r="C58" s="12">
        <v>9</v>
      </c>
      <c r="D58" s="12">
        <v>5</v>
      </c>
      <c r="E58" s="12">
        <v>2</v>
      </c>
      <c r="F58" s="12">
        <v>8</v>
      </c>
      <c r="G58" s="12">
        <v>4</v>
      </c>
      <c r="H58" s="12">
        <v>5</v>
      </c>
      <c r="I58" s="12">
        <v>6</v>
      </c>
      <c r="J58" s="13">
        <v>8</v>
      </c>
      <c r="M58" s="20">
        <v>1</v>
      </c>
      <c r="N58" s="20">
        <v>2</v>
      </c>
      <c r="O58" s="20">
        <v>3</v>
      </c>
      <c r="P58" s="20">
        <v>4</v>
      </c>
      <c r="W58">
        <f t="shared" si="3"/>
        <v>55</v>
      </c>
      <c r="X58" s="11">
        <f t="shared" si="14"/>
        <v>-1.349169127354642</v>
      </c>
      <c r="Y58" s="12">
        <f t="shared" si="14"/>
        <v>1.4619208746297327</v>
      </c>
      <c r="Z58" s="12">
        <f t="shared" si="14"/>
        <v>0.93979651272279086</v>
      </c>
      <c r="AA58" s="12">
        <f t="shared" si="10"/>
        <v>-1.3641708268600676</v>
      </c>
      <c r="AB58" s="12">
        <f t="shared" si="10"/>
        <v>1.3509090706807538</v>
      </c>
      <c r="AC58" s="12">
        <f t="shared" si="10"/>
        <v>-1.467117712880365</v>
      </c>
      <c r="AD58" s="12">
        <f t="shared" si="10"/>
        <v>6.1142987871620834E-2</v>
      </c>
      <c r="AE58" s="12">
        <f t="shared" si="10"/>
        <v>1.3388213728947576</v>
      </c>
      <c r="AF58" s="13">
        <f t="shared" si="10"/>
        <v>1.1896601456449316</v>
      </c>
    </row>
    <row r="59" spans="1:49" x14ac:dyDescent="0.25">
      <c r="A59">
        <v>56</v>
      </c>
      <c r="B59" s="11">
        <v>4</v>
      </c>
      <c r="C59" s="12">
        <v>8</v>
      </c>
      <c r="D59" s="12">
        <v>2</v>
      </c>
      <c r="E59" s="12">
        <v>3</v>
      </c>
      <c r="F59" s="12">
        <v>7</v>
      </c>
      <c r="G59" s="12">
        <v>4</v>
      </c>
      <c r="H59" s="12">
        <v>4</v>
      </c>
      <c r="I59" s="12">
        <v>4</v>
      </c>
      <c r="J59" s="13">
        <v>7</v>
      </c>
      <c r="L59" t="str">
        <f t="array" ref="L59:L67">L4:L12</f>
        <v>Expect</v>
      </c>
      <c r="M59" s="8">
        <f t="shared" ref="M59:P67" si="19">M19</f>
        <v>0.1086728</v>
      </c>
      <c r="N59" s="9">
        <f t="shared" si="19"/>
        <v>0.63924828</v>
      </c>
      <c r="O59" s="9">
        <f t="shared" si="19"/>
        <v>0.25729560000000001</v>
      </c>
      <c r="P59" s="10">
        <f t="shared" si="19"/>
        <v>-0.11377569999999999</v>
      </c>
      <c r="W59">
        <f t="shared" si="3"/>
        <v>56</v>
      </c>
      <c r="X59" s="11">
        <f t="shared" si="14"/>
        <v>0.23034594857274363</v>
      </c>
      <c r="Y59" s="12">
        <f t="shared" si="14"/>
        <v>-0.29238417492594532</v>
      </c>
      <c r="Z59" s="12">
        <f t="shared" si="14"/>
        <v>-0.87916447964390132</v>
      </c>
      <c r="AA59" s="12">
        <f t="shared" si="10"/>
        <v>-0.378023241178091</v>
      </c>
      <c r="AB59" s="12">
        <f t="shared" si="10"/>
        <v>0.30504398370210595</v>
      </c>
      <c r="AC59" s="12">
        <f t="shared" si="10"/>
        <v>-1.467117712880365</v>
      </c>
      <c r="AD59" s="12">
        <f t="shared" si="10"/>
        <v>-0.32502325131756366</v>
      </c>
      <c r="AE59" s="12">
        <f t="shared" si="10"/>
        <v>-0.76129058458721444</v>
      </c>
      <c r="AF59" s="13">
        <f t="shared" si="10"/>
        <v>-0.50985434813354169</v>
      </c>
    </row>
    <row r="60" spans="1:49" x14ac:dyDescent="0.25">
      <c r="A60">
        <v>57</v>
      </c>
      <c r="B60" s="11">
        <v>4</v>
      </c>
      <c r="C60" s="12">
        <v>9</v>
      </c>
      <c r="D60" s="12">
        <v>1</v>
      </c>
      <c r="E60" s="12">
        <v>4</v>
      </c>
      <c r="F60" s="12">
        <v>7</v>
      </c>
      <c r="G60" s="12">
        <v>7</v>
      </c>
      <c r="H60" s="12">
        <v>1</v>
      </c>
      <c r="I60" s="12">
        <v>4</v>
      </c>
      <c r="J60" s="13">
        <v>8</v>
      </c>
      <c r="L60" t="str">
        <v>Entertain</v>
      </c>
      <c r="M60" s="11">
        <f t="shared" si="19"/>
        <v>-0.41155510000000001</v>
      </c>
      <c r="N60" s="12">
        <f t="shared" si="19"/>
        <v>-0.25314344</v>
      </c>
      <c r="O60" s="12">
        <f t="shared" si="19"/>
        <v>0.18110409999999999</v>
      </c>
      <c r="P60" s="13">
        <f t="shared" si="19"/>
        <v>0.26161990000000002</v>
      </c>
      <c r="W60">
        <f t="shared" si="3"/>
        <v>57</v>
      </c>
      <c r="X60" s="11">
        <f t="shared" si="14"/>
        <v>0.23034594857274363</v>
      </c>
      <c r="Y60" s="12">
        <f t="shared" si="14"/>
        <v>1.4619208746297327</v>
      </c>
      <c r="Z60" s="12">
        <f t="shared" si="14"/>
        <v>-1.4854848104327987</v>
      </c>
      <c r="AA60" s="12">
        <f t="shared" si="10"/>
        <v>0.60812434450388564</v>
      </c>
      <c r="AB60" s="12">
        <f t="shared" si="10"/>
        <v>0.30504398370210595</v>
      </c>
      <c r="AC60" s="12">
        <f t="shared" si="10"/>
        <v>0.72442741839320879</v>
      </c>
      <c r="AD60" s="12">
        <f t="shared" si="10"/>
        <v>-1.4835219688851171</v>
      </c>
      <c r="AE60" s="12">
        <f t="shared" si="10"/>
        <v>-0.76129058458721444</v>
      </c>
      <c r="AF60" s="13">
        <f t="shared" si="10"/>
        <v>1.1896601456449316</v>
      </c>
      <c r="AI60" t="s">
        <v>39</v>
      </c>
      <c r="AS60" s="7" t="s">
        <v>40</v>
      </c>
      <c r="AU60" s="7" t="s">
        <v>41</v>
      </c>
      <c r="AW60" s="7" t="s">
        <v>42</v>
      </c>
    </row>
    <row r="61" spans="1:49" x14ac:dyDescent="0.25">
      <c r="A61">
        <v>58</v>
      </c>
      <c r="B61" s="11">
        <v>4</v>
      </c>
      <c r="C61" s="12">
        <v>8</v>
      </c>
      <c r="D61" s="12">
        <v>3</v>
      </c>
      <c r="E61" s="12">
        <v>3</v>
      </c>
      <c r="F61" s="12">
        <v>7</v>
      </c>
      <c r="G61" s="12">
        <v>6</v>
      </c>
      <c r="H61" s="12">
        <v>3</v>
      </c>
      <c r="I61" s="12">
        <v>4</v>
      </c>
      <c r="J61" s="13">
        <v>7</v>
      </c>
      <c r="L61" t="str">
        <v>Comm</v>
      </c>
      <c r="M61" s="11">
        <f t="shared" si="19"/>
        <v>-0.4443204</v>
      </c>
      <c r="N61" s="12">
        <f t="shared" si="19"/>
        <v>0.29067886999999998</v>
      </c>
      <c r="O61" s="12">
        <f t="shared" si="19"/>
        <v>0.18728040000000001</v>
      </c>
      <c r="P61" s="13">
        <f t="shared" si="19"/>
        <v>0.30220259999999999</v>
      </c>
      <c r="W61">
        <f t="shared" si="3"/>
        <v>58</v>
      </c>
      <c r="X61" s="11">
        <f t="shared" si="14"/>
        <v>0.23034594857274363</v>
      </c>
      <c r="Y61" s="12">
        <f t="shared" si="14"/>
        <v>-0.29238417492594532</v>
      </c>
      <c r="Z61" s="12">
        <f t="shared" si="14"/>
        <v>-0.27284414885500391</v>
      </c>
      <c r="AA61" s="12">
        <f t="shared" si="10"/>
        <v>-0.378023241178091</v>
      </c>
      <c r="AB61" s="12">
        <f t="shared" si="10"/>
        <v>0.30504398370210595</v>
      </c>
      <c r="AC61" s="12">
        <f t="shared" si="10"/>
        <v>-6.0876253646491192E-3</v>
      </c>
      <c r="AD61" s="12">
        <f t="shared" si="10"/>
        <v>-0.71118949050674818</v>
      </c>
      <c r="AE61" s="12">
        <f t="shared" si="10"/>
        <v>-0.76129058458721444</v>
      </c>
      <c r="AF61" s="13">
        <f t="shared" si="10"/>
        <v>-0.50985434813354169</v>
      </c>
      <c r="AI61" s="8">
        <f t="array" ref="AI61:AQ69">M19:U27</f>
        <v>0.1086728</v>
      </c>
      <c r="AJ61" s="9">
        <v>0.63924828</v>
      </c>
      <c r="AK61" s="9">
        <v>0.25729560000000001</v>
      </c>
      <c r="AL61" s="9">
        <v>-0.11377569999999999</v>
      </c>
      <c r="AM61" s="9">
        <v>-0.41709285000000001</v>
      </c>
      <c r="AN61" s="9">
        <v>9.5945440000000007E-2</v>
      </c>
      <c r="AO61" s="9">
        <v>0.48082964</v>
      </c>
      <c r="AP61" s="9">
        <v>0.28424031999999999</v>
      </c>
      <c r="AQ61" s="10">
        <v>-7.2417190000000006E-2</v>
      </c>
      <c r="AS61" s="30">
        <f t="array" ref="AS61:AS69">TRANSPOSE(B4:AS69)</f>
        <v>2</v>
      </c>
      <c r="AU61" s="30">
        <f t="array" ref="AU61:AU69">STANDARDIZE(AS61:AS69,TRANSPOSE(B126:J126),TRANSPOSE(B127:J127))</f>
        <v>-1.349169127354642</v>
      </c>
      <c r="AW61" s="30">
        <f t="array" ref="AW61:AW69">MMULT(TRANSPOSE(AI61:AQ69),AU61:AU69)</f>
        <v>0.78250216139201423</v>
      </c>
    </row>
    <row r="62" spans="1:49" x14ac:dyDescent="0.25">
      <c r="A62">
        <v>59</v>
      </c>
      <c r="B62" s="11">
        <v>5</v>
      </c>
      <c r="C62" s="12">
        <v>8</v>
      </c>
      <c r="D62" s="12">
        <v>3</v>
      </c>
      <c r="E62" s="12">
        <v>4</v>
      </c>
      <c r="F62" s="12">
        <v>8</v>
      </c>
      <c r="G62" s="12">
        <v>6</v>
      </c>
      <c r="H62" s="12">
        <v>5</v>
      </c>
      <c r="I62" s="12">
        <v>5</v>
      </c>
      <c r="J62" s="13">
        <v>7</v>
      </c>
      <c r="L62" t="str">
        <v>Expert</v>
      </c>
      <c r="M62" s="11">
        <f t="shared" si="19"/>
        <v>-0.21563850000000001</v>
      </c>
      <c r="N62" s="12">
        <f t="shared" si="19"/>
        <v>0.13550086</v>
      </c>
      <c r="O62" s="12">
        <f t="shared" si="19"/>
        <v>0.18288109999999999</v>
      </c>
      <c r="P62" s="13">
        <f t="shared" si="19"/>
        <v>-0.83964139999999998</v>
      </c>
      <c r="W62">
        <f t="shared" si="3"/>
        <v>59</v>
      </c>
      <c r="X62" s="11">
        <f t="shared" si="14"/>
        <v>1.0201034865364365</v>
      </c>
      <c r="Y62" s="12">
        <f t="shared" si="14"/>
        <v>-0.29238417492594532</v>
      </c>
      <c r="Z62" s="12">
        <f t="shared" si="14"/>
        <v>-0.27284414885500391</v>
      </c>
      <c r="AA62" s="12">
        <f t="shared" si="10"/>
        <v>0.60812434450388564</v>
      </c>
      <c r="AB62" s="12">
        <f t="shared" si="10"/>
        <v>1.3509090706807538</v>
      </c>
      <c r="AC62" s="12">
        <f t="shared" si="10"/>
        <v>-6.0876253646491192E-3</v>
      </c>
      <c r="AD62" s="12">
        <f t="shared" si="10"/>
        <v>6.1142987871620834E-2</v>
      </c>
      <c r="AE62" s="12">
        <f t="shared" si="10"/>
        <v>0.2887653941537715</v>
      </c>
      <c r="AF62" s="13">
        <f t="shared" si="10"/>
        <v>-0.50985434813354169</v>
      </c>
      <c r="AI62" s="11">
        <v>-0.41155510000000001</v>
      </c>
      <c r="AJ62" s="12">
        <v>-0.25314344</v>
      </c>
      <c r="AK62" s="12">
        <v>0.18110409999999999</v>
      </c>
      <c r="AL62" s="12">
        <v>0.26161990000000002</v>
      </c>
      <c r="AM62" s="12">
        <v>-0.33963617000000002</v>
      </c>
      <c r="AN62" s="12">
        <v>-4.1004470000000001E-5</v>
      </c>
      <c r="AO62" s="12">
        <v>0.43645310999999998</v>
      </c>
      <c r="AP62" s="12">
        <v>-0.59253175000000002</v>
      </c>
      <c r="AQ62" s="13">
        <v>-9.1428529999999994E-2</v>
      </c>
      <c r="AS62" s="31">
        <v>8</v>
      </c>
      <c r="AU62" s="31">
        <v>-0.29238417492594532</v>
      </c>
      <c r="AW62" s="31">
        <v>-1.96757591032182</v>
      </c>
    </row>
    <row r="63" spans="1:49" x14ac:dyDescent="0.25">
      <c r="A63">
        <v>60</v>
      </c>
      <c r="B63" s="11">
        <v>7</v>
      </c>
      <c r="C63" s="12">
        <v>8</v>
      </c>
      <c r="D63" s="12">
        <v>4</v>
      </c>
      <c r="E63" s="12">
        <v>4</v>
      </c>
      <c r="F63" s="12">
        <v>7</v>
      </c>
      <c r="G63" s="12">
        <v>7</v>
      </c>
      <c r="H63" s="12">
        <v>6</v>
      </c>
      <c r="I63" s="12">
        <v>6</v>
      </c>
      <c r="J63" s="13">
        <v>7</v>
      </c>
      <c r="L63" t="str">
        <v>Motivate</v>
      </c>
      <c r="M63" s="11">
        <f t="shared" si="19"/>
        <v>-0.34065990000000002</v>
      </c>
      <c r="N63" s="12">
        <f t="shared" si="19"/>
        <v>3.6795370000000001E-2</v>
      </c>
      <c r="O63" s="12">
        <f t="shared" si="19"/>
        <v>-0.41963149999999999</v>
      </c>
      <c r="P63" s="13">
        <f t="shared" si="19"/>
        <v>-0.15599940000000001</v>
      </c>
      <c r="W63">
        <f t="shared" si="3"/>
        <v>60</v>
      </c>
      <c r="X63" s="11">
        <f t="shared" si="14"/>
        <v>2.5996185624638222</v>
      </c>
      <c r="Y63" s="12">
        <f t="shared" si="14"/>
        <v>-0.29238417492594532</v>
      </c>
      <c r="Z63" s="12">
        <f t="shared" si="14"/>
        <v>0.33347618193389345</v>
      </c>
      <c r="AA63" s="12">
        <f t="shared" si="10"/>
        <v>0.60812434450388564</v>
      </c>
      <c r="AB63" s="12">
        <f t="shared" si="10"/>
        <v>0.30504398370210595</v>
      </c>
      <c r="AC63" s="12">
        <f t="shared" si="10"/>
        <v>0.72442741839320879</v>
      </c>
      <c r="AD63" s="12">
        <f t="shared" si="10"/>
        <v>0.44730922706080534</v>
      </c>
      <c r="AE63" s="12">
        <f t="shared" si="10"/>
        <v>1.3388213728947576</v>
      </c>
      <c r="AF63" s="13">
        <f t="shared" si="10"/>
        <v>-0.50985434813354169</v>
      </c>
      <c r="AI63" s="11">
        <v>-0.4443204</v>
      </c>
      <c r="AJ63" s="12">
        <v>0.29067886999999998</v>
      </c>
      <c r="AK63" s="12">
        <v>0.18728040000000001</v>
      </c>
      <c r="AL63" s="12">
        <v>0.30220259999999999</v>
      </c>
      <c r="AM63" s="12">
        <v>-3.0092029999999999E-2</v>
      </c>
      <c r="AN63" s="12">
        <v>0.1325276</v>
      </c>
      <c r="AO63" s="12">
        <v>-0.30089769999999999</v>
      </c>
      <c r="AP63" s="12">
        <v>6.3954960000000005E-2</v>
      </c>
      <c r="AQ63" s="13">
        <v>0.69179913999999998</v>
      </c>
      <c r="AS63" s="31">
        <v>1</v>
      </c>
      <c r="AU63" s="31">
        <v>-1.4854848104327987</v>
      </c>
      <c r="AW63" s="31">
        <v>0.23405806278856545</v>
      </c>
    </row>
    <row r="64" spans="1:49" x14ac:dyDescent="0.25">
      <c r="A64">
        <v>61</v>
      </c>
      <c r="B64" s="11">
        <v>4</v>
      </c>
      <c r="C64" s="12">
        <v>8</v>
      </c>
      <c r="D64" s="12">
        <v>3</v>
      </c>
      <c r="E64" s="12">
        <v>3</v>
      </c>
      <c r="F64" s="12">
        <v>7</v>
      </c>
      <c r="G64" s="12">
        <v>5</v>
      </c>
      <c r="H64" s="12">
        <v>6</v>
      </c>
      <c r="I64" s="12">
        <v>3</v>
      </c>
      <c r="J64" s="13">
        <v>7</v>
      </c>
      <c r="L64" t="str">
        <v>Caring</v>
      </c>
      <c r="M64" s="11">
        <f t="shared" si="19"/>
        <v>-0.176567</v>
      </c>
      <c r="N64" s="12">
        <f t="shared" si="19"/>
        <v>2.533519E-2</v>
      </c>
      <c r="O64" s="12">
        <f t="shared" si="19"/>
        <v>-0.71451310000000001</v>
      </c>
      <c r="P64" s="13">
        <f t="shared" si="19"/>
        <v>-6.2973500000000002E-2</v>
      </c>
      <c r="W64">
        <f t="shared" si="3"/>
        <v>61</v>
      </c>
      <c r="X64" s="11">
        <f t="shared" si="14"/>
        <v>0.23034594857274363</v>
      </c>
      <c r="Y64" s="12">
        <f t="shared" si="14"/>
        <v>-0.29238417492594532</v>
      </c>
      <c r="Z64" s="12">
        <f t="shared" si="14"/>
        <v>-0.27284414885500391</v>
      </c>
      <c r="AA64" s="12">
        <f t="shared" si="14"/>
        <v>-0.378023241178091</v>
      </c>
      <c r="AB64" s="12">
        <f t="shared" si="14"/>
        <v>0.30504398370210595</v>
      </c>
      <c r="AC64" s="12">
        <f t="shared" si="14"/>
        <v>-0.73660266912250705</v>
      </c>
      <c r="AD64" s="12">
        <f t="shared" si="14"/>
        <v>0.44730922706080534</v>
      </c>
      <c r="AE64" s="12">
        <f t="shared" si="14"/>
        <v>-1.8113465633282004</v>
      </c>
      <c r="AF64" s="13">
        <f t="shared" si="14"/>
        <v>-0.50985434813354169</v>
      </c>
      <c r="AI64" s="11">
        <v>-0.21563850000000001</v>
      </c>
      <c r="AJ64" s="12">
        <v>0.13550086</v>
      </c>
      <c r="AK64" s="12">
        <v>0.18288109999999999</v>
      </c>
      <c r="AL64" s="12">
        <v>-0.83964139999999998</v>
      </c>
      <c r="AM64" s="12">
        <v>-2.8151909999999999E-2</v>
      </c>
      <c r="AN64" s="12">
        <v>8.2470010000000003E-3</v>
      </c>
      <c r="AO64" s="12">
        <v>-0.22139123999999999</v>
      </c>
      <c r="AP64" s="12">
        <v>-0.37879413000000001</v>
      </c>
      <c r="AQ64" s="13">
        <v>5.7764589999999998E-2</v>
      </c>
      <c r="AS64" s="31">
        <v>4</v>
      </c>
      <c r="AU64" s="31">
        <v>0.60812434450388564</v>
      </c>
      <c r="AW64" s="31">
        <v>-1.123700785789747</v>
      </c>
    </row>
    <row r="65" spans="1:49" x14ac:dyDescent="0.25">
      <c r="A65">
        <v>62</v>
      </c>
      <c r="B65" s="11">
        <v>4</v>
      </c>
      <c r="C65" s="12">
        <v>8</v>
      </c>
      <c r="D65" s="12">
        <v>4</v>
      </c>
      <c r="E65" s="12">
        <v>4</v>
      </c>
      <c r="F65" s="12">
        <v>8</v>
      </c>
      <c r="G65" s="12">
        <v>5</v>
      </c>
      <c r="H65" s="12">
        <v>7</v>
      </c>
      <c r="I65" s="12">
        <v>4</v>
      </c>
      <c r="J65" s="13">
        <v>7</v>
      </c>
      <c r="L65" t="str">
        <v>Charisma</v>
      </c>
      <c r="M65" s="11">
        <f t="shared" si="19"/>
        <v>-0.48149530000000001</v>
      </c>
      <c r="N65" s="12">
        <f t="shared" si="19"/>
        <v>0.19955381999999999</v>
      </c>
      <c r="O65" s="12">
        <f t="shared" si="19"/>
        <v>0.18029729999999999</v>
      </c>
      <c r="P65" s="13">
        <f t="shared" si="19"/>
        <v>0.1644359</v>
      </c>
      <c r="W65">
        <f t="shared" si="3"/>
        <v>62</v>
      </c>
      <c r="X65" s="11">
        <f t="shared" ref="X65:AF93" si="20">STANDARDIZE(B65,B$126,B$127)</f>
        <v>0.23034594857274363</v>
      </c>
      <c r="Y65" s="12">
        <f t="shared" si="20"/>
        <v>-0.29238417492594532</v>
      </c>
      <c r="Z65" s="12">
        <f t="shared" si="20"/>
        <v>0.33347618193389345</v>
      </c>
      <c r="AA65" s="12">
        <f t="shared" si="20"/>
        <v>0.60812434450388564</v>
      </c>
      <c r="AB65" s="12">
        <f t="shared" si="20"/>
        <v>1.3509090706807538</v>
      </c>
      <c r="AC65" s="12">
        <f t="shared" si="20"/>
        <v>-0.73660266912250705</v>
      </c>
      <c r="AD65" s="12">
        <f t="shared" si="20"/>
        <v>0.8334754662499898</v>
      </c>
      <c r="AE65" s="12">
        <f t="shared" si="20"/>
        <v>-0.76129058458721444</v>
      </c>
      <c r="AF65" s="13">
        <f t="shared" si="20"/>
        <v>-0.50985434813354169</v>
      </c>
      <c r="AI65" s="11">
        <v>-0.34065990000000002</v>
      </c>
      <c r="AJ65" s="12">
        <v>3.6795370000000001E-2</v>
      </c>
      <c r="AK65" s="12">
        <v>-0.41963149999999999</v>
      </c>
      <c r="AL65" s="12">
        <v>-0.15599940000000001</v>
      </c>
      <c r="AM65" s="12">
        <v>0.42356978000000001</v>
      </c>
      <c r="AN65" s="12">
        <v>0.55990859999999998</v>
      </c>
      <c r="AO65" s="12">
        <v>0.42454929000000002</v>
      </c>
      <c r="AP65" s="12">
        <v>8.8223689999999994E-2</v>
      </c>
      <c r="AQ65" s="13">
        <v>3.5155649999999997E-2</v>
      </c>
      <c r="AS65" s="31">
        <v>7</v>
      </c>
      <c r="AU65" s="31">
        <v>0.30504398370210595</v>
      </c>
      <c r="AW65" s="31">
        <v>0.76567912891861323</v>
      </c>
    </row>
    <row r="66" spans="1:49" x14ac:dyDescent="0.25">
      <c r="A66">
        <v>63</v>
      </c>
      <c r="B66" s="11">
        <v>3</v>
      </c>
      <c r="C66" s="12">
        <v>9</v>
      </c>
      <c r="D66" s="12">
        <v>4</v>
      </c>
      <c r="E66" s="12">
        <v>3</v>
      </c>
      <c r="F66" s="12">
        <v>8</v>
      </c>
      <c r="G66" s="12">
        <v>6</v>
      </c>
      <c r="H66" s="12">
        <v>4</v>
      </c>
      <c r="I66" s="12">
        <v>5</v>
      </c>
      <c r="J66" s="13">
        <v>8</v>
      </c>
      <c r="L66" t="str">
        <v>Passion</v>
      </c>
      <c r="M66" s="11">
        <f t="shared" si="19"/>
        <v>-0.4053139</v>
      </c>
      <c r="N66" s="12">
        <f t="shared" si="19"/>
        <v>2.943374E-2</v>
      </c>
      <c r="O66" s="12">
        <f t="shared" si="19"/>
        <v>-0.1075513</v>
      </c>
      <c r="P66" s="13">
        <f t="shared" si="19"/>
        <v>-0.1162147</v>
      </c>
      <c r="W66">
        <f t="shared" si="3"/>
        <v>63</v>
      </c>
      <c r="X66" s="11">
        <f t="shared" si="20"/>
        <v>-0.55941158939094915</v>
      </c>
      <c r="Y66" s="12">
        <f t="shared" si="20"/>
        <v>1.4619208746297327</v>
      </c>
      <c r="Z66" s="12">
        <f t="shared" si="20"/>
        <v>0.33347618193389345</v>
      </c>
      <c r="AA66" s="12">
        <f t="shared" si="20"/>
        <v>-0.378023241178091</v>
      </c>
      <c r="AB66" s="12">
        <f t="shared" si="20"/>
        <v>1.3509090706807538</v>
      </c>
      <c r="AC66" s="12">
        <f t="shared" si="20"/>
        <v>-6.0876253646491192E-3</v>
      </c>
      <c r="AD66" s="12">
        <f t="shared" si="20"/>
        <v>-0.32502325131756366</v>
      </c>
      <c r="AE66" s="12">
        <f t="shared" si="20"/>
        <v>0.2887653941537715</v>
      </c>
      <c r="AF66" s="13">
        <f t="shared" si="20"/>
        <v>1.1896601456449316</v>
      </c>
      <c r="AI66" s="11">
        <v>-0.176567</v>
      </c>
      <c r="AJ66" s="12">
        <v>2.533519E-2</v>
      </c>
      <c r="AK66" s="12">
        <v>-0.71451310000000001</v>
      </c>
      <c r="AL66" s="12">
        <v>-6.2973500000000002E-2</v>
      </c>
      <c r="AM66" s="12">
        <v>-0.63254626000000003</v>
      </c>
      <c r="AN66" s="12">
        <v>-2.9625180000000001E-2</v>
      </c>
      <c r="AO66" s="12">
        <v>-0.21612683999999999</v>
      </c>
      <c r="AP66" s="12">
        <v>7.2965600000000005E-2</v>
      </c>
      <c r="AQ66" s="13">
        <v>-2.569923E-2</v>
      </c>
      <c r="AS66" s="31">
        <v>5</v>
      </c>
      <c r="AU66" s="31">
        <v>-0.73660266912250705</v>
      </c>
      <c r="AW66" s="31">
        <v>0.66142586048981611</v>
      </c>
    </row>
    <row r="67" spans="1:49" x14ac:dyDescent="0.25">
      <c r="A67">
        <v>64</v>
      </c>
      <c r="B67" s="11">
        <v>5</v>
      </c>
      <c r="C67" s="12">
        <v>8</v>
      </c>
      <c r="D67" s="12">
        <v>2</v>
      </c>
      <c r="E67" s="12">
        <v>3</v>
      </c>
      <c r="F67" s="12">
        <v>6</v>
      </c>
      <c r="G67" s="12">
        <v>4</v>
      </c>
      <c r="H67" s="12">
        <v>6</v>
      </c>
      <c r="I67" s="12">
        <v>4</v>
      </c>
      <c r="J67" s="13">
        <v>7</v>
      </c>
      <c r="L67" t="str">
        <v>Friendly</v>
      </c>
      <c r="M67" s="14">
        <f t="shared" si="19"/>
        <v>-0.17762259999999999</v>
      </c>
      <c r="N67" s="15">
        <f t="shared" si="19"/>
        <v>-0.61785234</v>
      </c>
      <c r="O67" s="15">
        <f t="shared" si="19"/>
        <v>0.31904060000000001</v>
      </c>
      <c r="P67" s="16">
        <f t="shared" si="19"/>
        <v>-0.23116990000000001</v>
      </c>
      <c r="Q67" s="12"/>
      <c r="W67">
        <f t="shared" si="3"/>
        <v>64</v>
      </c>
      <c r="X67" s="11">
        <f t="shared" si="20"/>
        <v>1.0201034865364365</v>
      </c>
      <c r="Y67" s="12">
        <f t="shared" si="20"/>
        <v>-0.29238417492594532</v>
      </c>
      <c r="Z67" s="12">
        <f t="shared" si="20"/>
        <v>-0.87916447964390132</v>
      </c>
      <c r="AA67" s="12">
        <f t="shared" si="20"/>
        <v>-0.378023241178091</v>
      </c>
      <c r="AB67" s="12">
        <f t="shared" si="20"/>
        <v>-0.74082110327654205</v>
      </c>
      <c r="AC67" s="12">
        <f t="shared" si="20"/>
        <v>-1.467117712880365</v>
      </c>
      <c r="AD67" s="12">
        <f t="shared" si="20"/>
        <v>0.44730922706080534</v>
      </c>
      <c r="AE67" s="12">
        <f t="shared" si="20"/>
        <v>-0.76129058458721444</v>
      </c>
      <c r="AF67" s="13">
        <f t="shared" si="20"/>
        <v>-0.50985434813354169</v>
      </c>
      <c r="AI67" s="11">
        <v>-0.48149530000000001</v>
      </c>
      <c r="AJ67" s="12">
        <v>0.19955381999999999</v>
      </c>
      <c r="AK67" s="12">
        <v>0.18029729999999999</v>
      </c>
      <c r="AL67" s="12">
        <v>0.1644359</v>
      </c>
      <c r="AM67" s="12">
        <v>8.9082069999999999E-2</v>
      </c>
      <c r="AN67" s="12">
        <v>9.9150810000000006E-2</v>
      </c>
      <c r="AO67" s="12">
        <v>-0.36144072999999999</v>
      </c>
      <c r="AP67" s="12">
        <v>0.16784172</v>
      </c>
      <c r="AQ67" s="13">
        <v>-0.70158215000000002</v>
      </c>
      <c r="AS67" s="31">
        <v>4</v>
      </c>
      <c r="AU67" s="31">
        <v>-0.32502325131756366</v>
      </c>
      <c r="AW67" s="31">
        <v>-0.22280963392105074</v>
      </c>
    </row>
    <row r="68" spans="1:49" x14ac:dyDescent="0.25">
      <c r="A68">
        <v>65</v>
      </c>
      <c r="B68" s="11">
        <v>7</v>
      </c>
      <c r="C68" s="12">
        <v>9</v>
      </c>
      <c r="D68" s="12">
        <v>7</v>
      </c>
      <c r="E68" s="12">
        <v>4</v>
      </c>
      <c r="F68" s="12">
        <v>8</v>
      </c>
      <c r="G68" s="12">
        <v>6</v>
      </c>
      <c r="H68" s="12">
        <v>10</v>
      </c>
      <c r="I68" s="12">
        <v>6</v>
      </c>
      <c r="J68" s="13">
        <v>7</v>
      </c>
      <c r="Q68" s="20"/>
      <c r="W68">
        <f t="shared" si="3"/>
        <v>65</v>
      </c>
      <c r="X68" s="11">
        <f t="shared" si="20"/>
        <v>2.5996185624638222</v>
      </c>
      <c r="Y68" s="12">
        <f t="shared" si="20"/>
        <v>1.4619208746297327</v>
      </c>
      <c r="Z68" s="12">
        <f t="shared" si="20"/>
        <v>2.1524371743005855</v>
      </c>
      <c r="AA68" s="12">
        <f t="shared" si="20"/>
        <v>0.60812434450388564</v>
      </c>
      <c r="AB68" s="12">
        <f t="shared" si="20"/>
        <v>1.3509090706807538</v>
      </c>
      <c r="AC68" s="12">
        <f t="shared" si="20"/>
        <v>-6.0876253646491192E-3</v>
      </c>
      <c r="AD68" s="12">
        <f t="shared" si="20"/>
        <v>1.9919741838175433</v>
      </c>
      <c r="AE68" s="12">
        <f t="shared" si="20"/>
        <v>1.3388213728947576</v>
      </c>
      <c r="AF68" s="13">
        <f t="shared" si="20"/>
        <v>-0.50985434813354169</v>
      </c>
      <c r="AI68" s="11">
        <v>-0.4053139</v>
      </c>
      <c r="AJ68" s="12">
        <v>2.943374E-2</v>
      </c>
      <c r="AK68" s="12">
        <v>-0.1075513</v>
      </c>
      <c r="AL68" s="12">
        <v>-0.1162147</v>
      </c>
      <c r="AM68" s="12">
        <v>0.21498491</v>
      </c>
      <c r="AN68" s="12">
        <v>-0.78277719999999995</v>
      </c>
      <c r="AO68" s="12">
        <v>0.28183459999999999</v>
      </c>
      <c r="AP68" s="12">
        <v>0.25913254000000002</v>
      </c>
      <c r="AQ68" s="13">
        <v>6.513041E-2</v>
      </c>
      <c r="AS68" s="31">
        <v>4</v>
      </c>
      <c r="AU68" s="31">
        <v>-0.76129058458721444</v>
      </c>
      <c r="AW68" s="31">
        <v>-0.14963600785753517</v>
      </c>
    </row>
    <row r="69" spans="1:49" x14ac:dyDescent="0.25">
      <c r="A69">
        <v>66</v>
      </c>
      <c r="B69" s="11">
        <v>3</v>
      </c>
      <c r="C69" s="12">
        <v>8</v>
      </c>
      <c r="D69" s="12">
        <v>1</v>
      </c>
      <c r="E69" s="12">
        <v>3</v>
      </c>
      <c r="F69" s="12">
        <v>7</v>
      </c>
      <c r="G69" s="12">
        <v>6</v>
      </c>
      <c r="H69" s="12">
        <v>5</v>
      </c>
      <c r="I69" s="12">
        <v>5</v>
      </c>
      <c r="J69" s="13">
        <v>7</v>
      </c>
      <c r="W69">
        <f t="shared" si="3"/>
        <v>66</v>
      </c>
      <c r="X69" s="11">
        <f t="shared" si="20"/>
        <v>-0.55941158939094915</v>
      </c>
      <c r="Y69" s="12">
        <f t="shared" si="20"/>
        <v>-0.29238417492594532</v>
      </c>
      <c r="Z69" s="12">
        <f t="shared" si="20"/>
        <v>-1.4854848104327987</v>
      </c>
      <c r="AA69" s="12">
        <f t="shared" si="20"/>
        <v>-0.378023241178091</v>
      </c>
      <c r="AB69" s="12">
        <f t="shared" si="20"/>
        <v>0.30504398370210595</v>
      </c>
      <c r="AC69" s="12">
        <f t="shared" si="20"/>
        <v>-6.0876253646491192E-3</v>
      </c>
      <c r="AD69" s="12">
        <f t="shared" si="20"/>
        <v>6.1142987871620834E-2</v>
      </c>
      <c r="AE69" s="12">
        <f t="shared" si="20"/>
        <v>0.2887653941537715</v>
      </c>
      <c r="AF69" s="13">
        <f t="shared" si="20"/>
        <v>-0.50985434813354169</v>
      </c>
      <c r="AI69" s="14">
        <v>-0.17762259999999999</v>
      </c>
      <c r="AJ69" s="15">
        <v>-0.61785234</v>
      </c>
      <c r="AK69" s="15">
        <v>0.31904060000000001</v>
      </c>
      <c r="AL69" s="15">
        <v>-0.23116990000000001</v>
      </c>
      <c r="AM69" s="15">
        <v>-0.27441303</v>
      </c>
      <c r="AN69" s="15">
        <v>0.19030620000000001</v>
      </c>
      <c r="AO69" s="15">
        <v>4.1652960000000003E-2</v>
      </c>
      <c r="AP69" s="15">
        <v>0.55866844000000004</v>
      </c>
      <c r="AQ69" s="16">
        <v>7.8217099999999998E-2</v>
      </c>
      <c r="AS69" s="32">
        <v>8</v>
      </c>
      <c r="AU69" s="32">
        <v>1.1896601456449316</v>
      </c>
      <c r="AW69" s="32">
        <v>-0.56694051749265395</v>
      </c>
    </row>
    <row r="70" spans="1:49" x14ac:dyDescent="0.25">
      <c r="A70">
        <v>67</v>
      </c>
      <c r="B70" s="11">
        <v>4</v>
      </c>
      <c r="C70" s="12">
        <v>8</v>
      </c>
      <c r="D70" s="12">
        <v>5</v>
      </c>
      <c r="E70" s="12">
        <v>4</v>
      </c>
      <c r="F70" s="12">
        <v>7</v>
      </c>
      <c r="G70" s="12">
        <v>6</v>
      </c>
      <c r="H70" s="12">
        <v>9</v>
      </c>
      <c r="I70" s="12">
        <v>6</v>
      </c>
      <c r="J70" s="13">
        <v>7</v>
      </c>
      <c r="W70">
        <f t="shared" ref="W70:W123" si="21">W69+1</f>
        <v>67</v>
      </c>
      <c r="X70" s="11">
        <f t="shared" si="20"/>
        <v>0.23034594857274363</v>
      </c>
      <c r="Y70" s="12">
        <f t="shared" si="20"/>
        <v>-0.29238417492594532</v>
      </c>
      <c r="Z70" s="12">
        <f t="shared" si="20"/>
        <v>0.93979651272279086</v>
      </c>
      <c r="AA70" s="12">
        <f t="shared" si="20"/>
        <v>0.60812434450388564</v>
      </c>
      <c r="AB70" s="12">
        <f t="shared" si="20"/>
        <v>0.30504398370210595</v>
      </c>
      <c r="AC70" s="12">
        <f t="shared" si="20"/>
        <v>-6.0876253646491192E-3</v>
      </c>
      <c r="AD70" s="12">
        <f t="shared" si="20"/>
        <v>1.6058079446283589</v>
      </c>
      <c r="AE70" s="12">
        <f t="shared" si="20"/>
        <v>1.3388213728947576</v>
      </c>
      <c r="AF70" s="13">
        <f t="shared" si="20"/>
        <v>-0.50985434813354169</v>
      </c>
    </row>
    <row r="71" spans="1:49" x14ac:dyDescent="0.25">
      <c r="A71">
        <v>68</v>
      </c>
      <c r="B71" s="11">
        <v>5</v>
      </c>
      <c r="C71" s="12">
        <v>8</v>
      </c>
      <c r="D71" s="12">
        <v>2</v>
      </c>
      <c r="E71" s="12">
        <v>3</v>
      </c>
      <c r="F71" s="12">
        <v>5</v>
      </c>
      <c r="G71" s="12">
        <v>7</v>
      </c>
      <c r="H71" s="12">
        <v>1</v>
      </c>
      <c r="I71" s="12">
        <v>5</v>
      </c>
      <c r="J71" s="13">
        <v>7</v>
      </c>
      <c r="W71">
        <f t="shared" si="21"/>
        <v>68</v>
      </c>
      <c r="X71" s="11">
        <f t="shared" si="20"/>
        <v>1.0201034865364365</v>
      </c>
      <c r="Y71" s="12">
        <f t="shared" si="20"/>
        <v>-0.29238417492594532</v>
      </c>
      <c r="Z71" s="12">
        <f t="shared" si="20"/>
        <v>-0.87916447964390132</v>
      </c>
      <c r="AA71" s="12">
        <f t="shared" si="20"/>
        <v>-0.378023241178091</v>
      </c>
      <c r="AB71" s="12">
        <f t="shared" si="20"/>
        <v>-1.78668619025519</v>
      </c>
      <c r="AC71" s="12">
        <f t="shared" si="20"/>
        <v>0.72442741839320879</v>
      </c>
      <c r="AD71" s="12">
        <f t="shared" si="20"/>
        <v>-1.4835219688851171</v>
      </c>
      <c r="AE71" s="12">
        <f t="shared" si="20"/>
        <v>0.2887653941537715</v>
      </c>
      <c r="AF71" s="13">
        <f t="shared" si="20"/>
        <v>-0.50985434813354169</v>
      </c>
      <c r="AN71" t="s">
        <v>31</v>
      </c>
    </row>
    <row r="72" spans="1:49" x14ac:dyDescent="0.25">
      <c r="A72">
        <v>69</v>
      </c>
      <c r="B72" s="11">
        <v>4</v>
      </c>
      <c r="C72" s="12">
        <v>8</v>
      </c>
      <c r="D72" s="12">
        <v>6</v>
      </c>
      <c r="E72" s="12">
        <v>4</v>
      </c>
      <c r="F72" s="12">
        <v>8</v>
      </c>
      <c r="G72" s="12">
        <v>8</v>
      </c>
      <c r="H72" s="12">
        <v>9</v>
      </c>
      <c r="I72" s="12">
        <v>6</v>
      </c>
      <c r="J72" s="13">
        <v>7</v>
      </c>
      <c r="W72">
        <f t="shared" si="21"/>
        <v>69</v>
      </c>
      <c r="X72" s="11">
        <f t="shared" si="20"/>
        <v>0.23034594857274363</v>
      </c>
      <c r="Y72" s="12">
        <f t="shared" si="20"/>
        <v>-0.29238417492594532</v>
      </c>
      <c r="Z72" s="12">
        <f t="shared" si="20"/>
        <v>1.5461168435116881</v>
      </c>
      <c r="AA72" s="12">
        <f t="shared" si="20"/>
        <v>0.60812434450388564</v>
      </c>
      <c r="AB72" s="12">
        <f t="shared" si="20"/>
        <v>1.3509090706807538</v>
      </c>
      <c r="AC72" s="12">
        <f t="shared" si="20"/>
        <v>1.4549424621510667</v>
      </c>
      <c r="AD72" s="12">
        <f t="shared" si="20"/>
        <v>1.6058079446283589</v>
      </c>
      <c r="AE72" s="12">
        <f t="shared" si="20"/>
        <v>1.3388213728947576</v>
      </c>
      <c r="AF72" s="13">
        <f t="shared" si="20"/>
        <v>-0.50985434813354169</v>
      </c>
    </row>
    <row r="73" spans="1:49" x14ac:dyDescent="0.25">
      <c r="A73">
        <v>70</v>
      </c>
      <c r="B73" s="11">
        <v>3</v>
      </c>
      <c r="C73" s="12">
        <v>8</v>
      </c>
      <c r="D73" s="12">
        <v>3</v>
      </c>
      <c r="E73" s="12">
        <v>4</v>
      </c>
      <c r="F73" s="12">
        <v>6</v>
      </c>
      <c r="G73" s="12">
        <v>4</v>
      </c>
      <c r="H73" s="12">
        <v>5</v>
      </c>
      <c r="I73" s="12">
        <v>5</v>
      </c>
      <c r="J73" s="13">
        <v>8</v>
      </c>
      <c r="W73">
        <f t="shared" si="21"/>
        <v>70</v>
      </c>
      <c r="X73" s="11">
        <f t="shared" si="20"/>
        <v>-0.55941158939094915</v>
      </c>
      <c r="Y73" s="12">
        <f t="shared" si="20"/>
        <v>-0.29238417492594532</v>
      </c>
      <c r="Z73" s="12">
        <f t="shared" si="20"/>
        <v>-0.27284414885500391</v>
      </c>
      <c r="AA73" s="12">
        <f t="shared" si="20"/>
        <v>0.60812434450388564</v>
      </c>
      <c r="AB73" s="12">
        <f t="shared" si="20"/>
        <v>-0.74082110327654205</v>
      </c>
      <c r="AC73" s="12">
        <f t="shared" si="20"/>
        <v>-1.467117712880365</v>
      </c>
      <c r="AD73" s="12">
        <f t="shared" si="20"/>
        <v>6.1142987871620834E-2</v>
      </c>
      <c r="AE73" s="12">
        <f t="shared" si="20"/>
        <v>0.2887653941537715</v>
      </c>
      <c r="AF73" s="13">
        <f t="shared" si="20"/>
        <v>1.1896601456449316</v>
      </c>
      <c r="AN73" t="s">
        <v>39</v>
      </c>
      <c r="AS73" s="7" t="s">
        <v>42</v>
      </c>
      <c r="AT73" s="7"/>
      <c r="AU73" s="7" t="s">
        <v>41</v>
      </c>
      <c r="AV73" s="7"/>
      <c r="AW73" s="7" t="s">
        <v>40</v>
      </c>
    </row>
    <row r="74" spans="1:49" x14ac:dyDescent="0.25">
      <c r="A74">
        <v>71</v>
      </c>
      <c r="B74" s="11">
        <v>6</v>
      </c>
      <c r="C74" s="12">
        <v>8</v>
      </c>
      <c r="D74" s="12">
        <v>5</v>
      </c>
      <c r="E74" s="12">
        <v>4</v>
      </c>
      <c r="F74" s="12">
        <v>7</v>
      </c>
      <c r="G74" s="12">
        <v>5</v>
      </c>
      <c r="H74" s="12">
        <v>6</v>
      </c>
      <c r="I74" s="12">
        <v>4</v>
      </c>
      <c r="J74" s="13">
        <v>7</v>
      </c>
      <c r="W74">
        <f t="shared" si="21"/>
        <v>71</v>
      </c>
      <c r="X74" s="11">
        <f t="shared" si="20"/>
        <v>1.8098610245001292</v>
      </c>
      <c r="Y74" s="12">
        <f t="shared" si="20"/>
        <v>-0.29238417492594532</v>
      </c>
      <c r="Z74" s="12">
        <f t="shared" si="20"/>
        <v>0.93979651272279086</v>
      </c>
      <c r="AA74" s="12">
        <f t="shared" si="20"/>
        <v>0.60812434450388564</v>
      </c>
      <c r="AB74" s="12">
        <f t="shared" si="20"/>
        <v>0.30504398370210595</v>
      </c>
      <c r="AC74" s="12">
        <f t="shared" si="20"/>
        <v>-0.73660266912250705</v>
      </c>
      <c r="AD74" s="12">
        <f t="shared" si="20"/>
        <v>0.44730922706080534</v>
      </c>
      <c r="AE74" s="12">
        <f t="shared" si="20"/>
        <v>-0.76129058458721444</v>
      </c>
      <c r="AF74" s="13">
        <f t="shared" si="20"/>
        <v>-0.50985434813354169</v>
      </c>
      <c r="AN74" s="8">
        <f t="array" ref="AN74:AQ82">AI61:AL69</f>
        <v>0.1086728</v>
      </c>
      <c r="AO74" s="9">
        <v>0.63924828</v>
      </c>
      <c r="AP74" s="9">
        <v>0.25729560000000001</v>
      </c>
      <c r="AQ74" s="10">
        <v>-0.11377569999999999</v>
      </c>
      <c r="AS74" s="30">
        <f t="array" ref="AS74:AS77">AW61:AW64</f>
        <v>0.78250216139201423</v>
      </c>
      <c r="AU74" s="30">
        <f t="array" ref="AU74:AU82">MMULT(AN74:AQ82,AS74:AS77)</f>
        <v>-0.98466086236433559</v>
      </c>
      <c r="AW74" s="30">
        <f t="array" ref="AW74:AW82">AU74:AU82*TRANSPOSE(B127:J127)+TRANSPOSE(B126:J126)</f>
        <v>2.4615445215377783</v>
      </c>
    </row>
    <row r="75" spans="1:49" x14ac:dyDescent="0.25">
      <c r="A75">
        <v>72</v>
      </c>
      <c r="B75" s="11">
        <v>4</v>
      </c>
      <c r="C75" s="12">
        <v>8</v>
      </c>
      <c r="D75" s="12">
        <v>4</v>
      </c>
      <c r="E75" s="12">
        <v>4</v>
      </c>
      <c r="F75" s="12">
        <v>7</v>
      </c>
      <c r="G75" s="12">
        <v>7</v>
      </c>
      <c r="H75" s="12">
        <v>6</v>
      </c>
      <c r="I75" s="12">
        <v>4</v>
      </c>
      <c r="J75" s="13">
        <v>7</v>
      </c>
      <c r="W75">
        <f t="shared" si="21"/>
        <v>72</v>
      </c>
      <c r="X75" s="11">
        <f t="shared" si="20"/>
        <v>0.23034594857274363</v>
      </c>
      <c r="Y75" s="12">
        <f t="shared" si="20"/>
        <v>-0.29238417492594532</v>
      </c>
      <c r="Z75" s="12">
        <f t="shared" si="20"/>
        <v>0.33347618193389345</v>
      </c>
      <c r="AA75" s="12">
        <f t="shared" si="20"/>
        <v>0.60812434450388564</v>
      </c>
      <c r="AB75" s="12">
        <f t="shared" si="20"/>
        <v>0.30504398370210595</v>
      </c>
      <c r="AC75" s="12">
        <f t="shared" si="20"/>
        <v>0.72442741839320879</v>
      </c>
      <c r="AD75" s="12">
        <f t="shared" si="20"/>
        <v>0.44730922706080534</v>
      </c>
      <c r="AE75" s="12">
        <f t="shared" si="20"/>
        <v>-0.76129058458721444</v>
      </c>
      <c r="AF75" s="13">
        <f t="shared" si="20"/>
        <v>-0.50985434813354169</v>
      </c>
      <c r="AN75" s="11">
        <v>-0.41155510000000001</v>
      </c>
      <c r="AO75" s="12">
        <v>-0.25314344</v>
      </c>
      <c r="AP75" s="12">
        <v>0.18110409999999999</v>
      </c>
      <c r="AQ75" s="13">
        <v>0.26161990000000002</v>
      </c>
      <c r="AS75" s="31">
        <v>-1.96757591032182</v>
      </c>
      <c r="AU75" s="31">
        <v>-7.5557433281077974E-2</v>
      </c>
      <c r="AW75" s="31">
        <v>8.1235969432452944</v>
      </c>
    </row>
    <row r="76" spans="1:49" x14ac:dyDescent="0.25">
      <c r="A76">
        <v>73</v>
      </c>
      <c r="B76" s="11">
        <v>4</v>
      </c>
      <c r="C76" s="12">
        <v>7</v>
      </c>
      <c r="D76" s="12">
        <v>3</v>
      </c>
      <c r="E76" s="12">
        <v>3</v>
      </c>
      <c r="F76" s="12">
        <v>6</v>
      </c>
      <c r="G76" s="12">
        <v>5</v>
      </c>
      <c r="H76" s="12">
        <v>5</v>
      </c>
      <c r="I76" s="12">
        <v>4</v>
      </c>
      <c r="J76" s="13">
        <v>7</v>
      </c>
      <c r="W76">
        <f t="shared" si="21"/>
        <v>73</v>
      </c>
      <c r="X76" s="11">
        <f t="shared" si="20"/>
        <v>0.23034594857274363</v>
      </c>
      <c r="Y76" s="12">
        <f t="shared" si="20"/>
        <v>-2.0466892244816233</v>
      </c>
      <c r="Z76" s="12">
        <f t="shared" si="20"/>
        <v>-0.27284414885500391</v>
      </c>
      <c r="AA76" s="12">
        <f t="shared" si="20"/>
        <v>-0.378023241178091</v>
      </c>
      <c r="AB76" s="12">
        <f t="shared" si="20"/>
        <v>-0.74082110327654205</v>
      </c>
      <c r="AC76" s="12">
        <f t="shared" si="20"/>
        <v>-0.73660266912250705</v>
      </c>
      <c r="AD76" s="12">
        <f t="shared" si="20"/>
        <v>6.1142987871620834E-2</v>
      </c>
      <c r="AE76" s="12">
        <f t="shared" si="20"/>
        <v>-0.76129058458721444</v>
      </c>
      <c r="AF76" s="13">
        <f t="shared" si="20"/>
        <v>-0.50985434813354169</v>
      </c>
      <c r="AN76" s="11">
        <v>-0.4443204</v>
      </c>
      <c r="AO76" s="12">
        <v>0.29067886999999998</v>
      </c>
      <c r="AP76" s="12">
        <v>0.18728040000000001</v>
      </c>
      <c r="AQ76" s="13">
        <v>0.30220259999999999</v>
      </c>
      <c r="AS76" s="31">
        <v>0.23405806278856545</v>
      </c>
      <c r="AU76" s="31">
        <v>-1.2153652270675692</v>
      </c>
      <c r="AW76" s="31">
        <v>1.4455063926584328</v>
      </c>
    </row>
    <row r="77" spans="1:49" x14ac:dyDescent="0.25">
      <c r="A77">
        <v>74</v>
      </c>
      <c r="B77" s="11">
        <v>4</v>
      </c>
      <c r="C77" s="12">
        <v>8</v>
      </c>
      <c r="D77" s="12">
        <v>5</v>
      </c>
      <c r="E77" s="12">
        <v>4</v>
      </c>
      <c r="F77" s="12">
        <v>7</v>
      </c>
      <c r="G77" s="12">
        <v>8</v>
      </c>
      <c r="H77" s="12">
        <v>8</v>
      </c>
      <c r="I77" s="12">
        <v>5</v>
      </c>
      <c r="J77" s="13">
        <v>7</v>
      </c>
      <c r="W77">
        <f t="shared" si="21"/>
        <v>74</v>
      </c>
      <c r="X77" s="11">
        <f t="shared" si="20"/>
        <v>0.23034594857274363</v>
      </c>
      <c r="Y77" s="12">
        <f t="shared" si="20"/>
        <v>-0.29238417492594532</v>
      </c>
      <c r="Z77" s="12">
        <f t="shared" si="20"/>
        <v>0.93979651272279086</v>
      </c>
      <c r="AA77" s="12">
        <f t="shared" si="20"/>
        <v>0.60812434450388564</v>
      </c>
      <c r="AB77" s="12">
        <f t="shared" si="20"/>
        <v>0.30504398370210595</v>
      </c>
      <c r="AC77" s="12">
        <f t="shared" si="20"/>
        <v>1.4549424621510667</v>
      </c>
      <c r="AD77" s="12">
        <f t="shared" si="20"/>
        <v>1.2196417054391744</v>
      </c>
      <c r="AE77" s="12">
        <f t="shared" si="20"/>
        <v>0.2887653941537715</v>
      </c>
      <c r="AF77" s="13">
        <f t="shared" si="20"/>
        <v>-0.50985434813354169</v>
      </c>
      <c r="AN77" s="11">
        <v>-0.21563850000000001</v>
      </c>
      <c r="AO77" s="12">
        <v>0.13550086</v>
      </c>
      <c r="AP77" s="12">
        <v>0.18288109999999999</v>
      </c>
      <c r="AQ77" s="13">
        <v>-0.83964139999999998</v>
      </c>
      <c r="AS77" s="32">
        <v>-1.123700785789747</v>
      </c>
      <c r="AU77" s="31">
        <v>0.5509646766550238</v>
      </c>
      <c r="AW77" s="31">
        <v>3.9420374103442817</v>
      </c>
    </row>
    <row r="78" spans="1:49" x14ac:dyDescent="0.25">
      <c r="A78">
        <v>75</v>
      </c>
      <c r="B78" s="11">
        <v>3</v>
      </c>
      <c r="C78" s="12">
        <v>8</v>
      </c>
      <c r="D78" s="12">
        <v>2</v>
      </c>
      <c r="E78" s="12">
        <v>4</v>
      </c>
      <c r="F78" s="12">
        <v>6</v>
      </c>
      <c r="G78" s="12">
        <v>5</v>
      </c>
      <c r="H78" s="12">
        <v>5</v>
      </c>
      <c r="I78" s="12">
        <v>5</v>
      </c>
      <c r="J78" s="13">
        <v>8</v>
      </c>
      <c r="W78">
        <f t="shared" si="21"/>
        <v>75</v>
      </c>
      <c r="X78" s="11">
        <f t="shared" si="20"/>
        <v>-0.55941158939094915</v>
      </c>
      <c r="Y78" s="12">
        <f t="shared" si="20"/>
        <v>-0.29238417492594532</v>
      </c>
      <c r="Z78" s="12">
        <f t="shared" si="20"/>
        <v>-0.87916447964390132</v>
      </c>
      <c r="AA78" s="12">
        <f t="shared" si="20"/>
        <v>0.60812434450388564</v>
      </c>
      <c r="AB78" s="12">
        <f t="shared" si="20"/>
        <v>-0.74082110327654205</v>
      </c>
      <c r="AC78" s="12">
        <f t="shared" si="20"/>
        <v>-0.73660266912250705</v>
      </c>
      <c r="AD78" s="12">
        <f t="shared" si="20"/>
        <v>6.1142987871620834E-2</v>
      </c>
      <c r="AE78" s="12">
        <f t="shared" si="20"/>
        <v>0.2887653941537715</v>
      </c>
      <c r="AF78" s="13">
        <f t="shared" si="20"/>
        <v>1.1896601456449316</v>
      </c>
      <c r="AN78" s="11">
        <v>-0.34065990000000002</v>
      </c>
      <c r="AO78" s="12">
        <v>3.6795370000000001E-2</v>
      </c>
      <c r="AP78" s="12">
        <v>-0.41963149999999999</v>
      </c>
      <c r="AQ78" s="13">
        <v>-0.15599940000000001</v>
      </c>
      <c r="AU78" s="31">
        <v>-0.26188627928529645</v>
      </c>
      <c r="AW78" s="31">
        <v>6.4579317446907218</v>
      </c>
    </row>
    <row r="79" spans="1:49" x14ac:dyDescent="0.25">
      <c r="A79">
        <v>76</v>
      </c>
      <c r="B79" s="11">
        <v>4</v>
      </c>
      <c r="C79" s="12">
        <v>8</v>
      </c>
      <c r="D79" s="12">
        <v>3</v>
      </c>
      <c r="E79" s="12">
        <v>1</v>
      </c>
      <c r="F79" s="12">
        <v>6</v>
      </c>
      <c r="G79" s="12">
        <v>4</v>
      </c>
      <c r="H79" s="12">
        <v>1</v>
      </c>
      <c r="I79" s="12">
        <v>4</v>
      </c>
      <c r="J79" s="13">
        <v>7</v>
      </c>
      <c r="W79">
        <f t="shared" si="21"/>
        <v>76</v>
      </c>
      <c r="X79" s="11">
        <f t="shared" si="20"/>
        <v>0.23034594857274363</v>
      </c>
      <c r="Y79" s="12">
        <f t="shared" si="20"/>
        <v>-0.29238417492594532</v>
      </c>
      <c r="Z79" s="12">
        <f t="shared" si="20"/>
        <v>-0.27284414885500391</v>
      </c>
      <c r="AA79" s="12">
        <f t="shared" si="20"/>
        <v>-2.3503184125420442</v>
      </c>
      <c r="AB79" s="12">
        <f t="shared" si="20"/>
        <v>-0.74082110327654205</v>
      </c>
      <c r="AC79" s="12">
        <f t="shared" si="20"/>
        <v>-1.467117712880365</v>
      </c>
      <c r="AD79" s="12">
        <f t="shared" si="20"/>
        <v>-1.4835219688851171</v>
      </c>
      <c r="AE79" s="12">
        <f t="shared" si="20"/>
        <v>-0.76129058458721444</v>
      </c>
      <c r="AF79" s="13">
        <f t="shared" si="20"/>
        <v>-0.50985434813354169</v>
      </c>
      <c r="AN79" s="11">
        <v>-0.176567</v>
      </c>
      <c r="AO79" s="12">
        <v>2.533519E-2</v>
      </c>
      <c r="AP79" s="12">
        <v>-0.71451310000000001</v>
      </c>
      <c r="AQ79" s="13">
        <v>-6.2973500000000002E-2</v>
      </c>
      <c r="AU79" s="31">
        <v>-0.28448714924705198</v>
      </c>
      <c r="AW79" s="31">
        <v>5.618899670497842</v>
      </c>
    </row>
    <row r="80" spans="1:49" x14ac:dyDescent="0.25">
      <c r="A80">
        <v>77</v>
      </c>
      <c r="B80" s="11">
        <v>4</v>
      </c>
      <c r="C80" s="12">
        <v>9</v>
      </c>
      <c r="D80" s="12">
        <v>6</v>
      </c>
      <c r="E80" s="12">
        <v>5</v>
      </c>
      <c r="F80" s="12">
        <v>8</v>
      </c>
      <c r="G80" s="12">
        <v>5</v>
      </c>
      <c r="H80" s="12">
        <v>9</v>
      </c>
      <c r="I80" s="12">
        <v>5</v>
      </c>
      <c r="J80" s="13">
        <v>8</v>
      </c>
      <c r="W80">
        <f t="shared" si="21"/>
        <v>77</v>
      </c>
      <c r="X80" s="11">
        <f t="shared" si="20"/>
        <v>0.23034594857274363</v>
      </c>
      <c r="Y80" s="12">
        <f t="shared" si="20"/>
        <v>1.4619208746297327</v>
      </c>
      <c r="Z80" s="12">
        <f t="shared" si="20"/>
        <v>1.5461168435116881</v>
      </c>
      <c r="AA80" s="12">
        <f t="shared" si="20"/>
        <v>1.5942719301858623</v>
      </c>
      <c r="AB80" s="12">
        <f t="shared" si="20"/>
        <v>1.3509090706807538</v>
      </c>
      <c r="AC80" s="12">
        <f t="shared" si="20"/>
        <v>-0.73660266912250705</v>
      </c>
      <c r="AD80" s="12">
        <f t="shared" si="20"/>
        <v>1.6058079446283589</v>
      </c>
      <c r="AE80" s="12">
        <f t="shared" si="20"/>
        <v>0.2887653941537715</v>
      </c>
      <c r="AF80" s="13">
        <f t="shared" si="20"/>
        <v>1.1896601456449316</v>
      </c>
      <c r="AN80" s="11">
        <v>-0.48149530000000001</v>
      </c>
      <c r="AO80" s="12">
        <v>0.19955381999999999</v>
      </c>
      <c r="AP80" s="12">
        <v>0.18029729999999999</v>
      </c>
      <c r="AQ80" s="13">
        <v>0.1644359</v>
      </c>
      <c r="AU80" s="31">
        <v>-0.91198511527282822</v>
      </c>
      <c r="AW80" s="31">
        <v>2.4800280180171073</v>
      </c>
    </row>
    <row r="81" spans="1:49" x14ac:dyDescent="0.25">
      <c r="A81">
        <v>78</v>
      </c>
      <c r="B81" s="11">
        <v>2</v>
      </c>
      <c r="C81" s="12">
        <v>9</v>
      </c>
      <c r="D81" s="12">
        <v>5</v>
      </c>
      <c r="E81" s="12">
        <v>2</v>
      </c>
      <c r="F81" s="12">
        <v>6</v>
      </c>
      <c r="G81" s="12">
        <v>7</v>
      </c>
      <c r="H81" s="12">
        <v>8</v>
      </c>
      <c r="I81" s="12">
        <v>5</v>
      </c>
      <c r="J81" s="13">
        <v>8</v>
      </c>
      <c r="W81">
        <f t="shared" si="21"/>
        <v>78</v>
      </c>
      <c r="X81" s="11">
        <f t="shared" si="20"/>
        <v>-1.349169127354642</v>
      </c>
      <c r="Y81" s="12">
        <f t="shared" si="20"/>
        <v>1.4619208746297327</v>
      </c>
      <c r="Z81" s="12">
        <f t="shared" si="20"/>
        <v>0.93979651272279086</v>
      </c>
      <c r="AA81" s="12">
        <f t="shared" si="20"/>
        <v>-1.3641708268600676</v>
      </c>
      <c r="AB81" s="12">
        <f t="shared" si="20"/>
        <v>-0.74082110327654205</v>
      </c>
      <c r="AC81" s="12">
        <f t="shared" si="20"/>
        <v>0.72442741839320879</v>
      </c>
      <c r="AD81" s="12">
        <f t="shared" si="20"/>
        <v>1.2196417054391744</v>
      </c>
      <c r="AE81" s="12">
        <f t="shared" si="20"/>
        <v>0.2887653941537715</v>
      </c>
      <c r="AF81" s="13">
        <f t="shared" si="20"/>
        <v>1.1896601456449316</v>
      </c>
      <c r="AN81" s="11">
        <v>-0.4053139</v>
      </c>
      <c r="AO81" s="12">
        <v>2.943374E-2</v>
      </c>
      <c r="AP81" s="12">
        <v>-0.1075513</v>
      </c>
      <c r="AQ81" s="13">
        <v>-0.1162147</v>
      </c>
      <c r="AU81" s="31">
        <v>-0.26965481978497463</v>
      </c>
      <c r="AW81" s="31">
        <v>4.4681995767422888</v>
      </c>
    </row>
    <row r="82" spans="1:49" x14ac:dyDescent="0.25">
      <c r="A82">
        <v>79</v>
      </c>
      <c r="B82" s="11">
        <v>4</v>
      </c>
      <c r="C82" s="12">
        <v>7</v>
      </c>
      <c r="D82" s="12">
        <v>2</v>
      </c>
      <c r="E82" s="12">
        <v>1</v>
      </c>
      <c r="F82" s="12">
        <v>6</v>
      </c>
      <c r="G82" s="12">
        <v>3</v>
      </c>
      <c r="H82" s="12">
        <v>1</v>
      </c>
      <c r="I82" s="12">
        <v>2</v>
      </c>
      <c r="J82" s="13">
        <v>7</v>
      </c>
      <c r="W82">
        <f t="shared" si="21"/>
        <v>79</v>
      </c>
      <c r="X82" s="11">
        <f t="shared" si="20"/>
        <v>0.23034594857274363</v>
      </c>
      <c r="Y82" s="12">
        <f t="shared" si="20"/>
        <v>-2.0466892244816233</v>
      </c>
      <c r="Z82" s="12">
        <f t="shared" si="20"/>
        <v>-0.87916447964390132</v>
      </c>
      <c r="AA82" s="12">
        <f t="shared" si="20"/>
        <v>-2.3503184125420442</v>
      </c>
      <c r="AB82" s="12">
        <f t="shared" si="20"/>
        <v>-0.74082110327654205</v>
      </c>
      <c r="AC82" s="12">
        <f t="shared" si="20"/>
        <v>-2.1976327566382228</v>
      </c>
      <c r="AD82" s="12">
        <f t="shared" si="20"/>
        <v>-1.4835219688851171</v>
      </c>
      <c r="AE82" s="12">
        <f t="shared" si="20"/>
        <v>-2.8614025420691864</v>
      </c>
      <c r="AF82" s="13">
        <f t="shared" si="20"/>
        <v>-0.50985434813354169</v>
      </c>
      <c r="AN82" s="14">
        <v>-0.17762259999999999</v>
      </c>
      <c r="AO82" s="15">
        <v>-0.61785234</v>
      </c>
      <c r="AP82" s="15">
        <v>0.31904060000000001</v>
      </c>
      <c r="AQ82" s="16">
        <v>-0.23116990000000001</v>
      </c>
      <c r="AU82" s="32">
        <v>1.4111211349757364</v>
      </c>
      <c r="AW82" s="32">
        <v>8.1303083852132598</v>
      </c>
    </row>
    <row r="83" spans="1:49" x14ac:dyDescent="0.25">
      <c r="A83">
        <v>80</v>
      </c>
      <c r="B83" s="11">
        <v>5</v>
      </c>
      <c r="C83" s="12">
        <v>8</v>
      </c>
      <c r="D83" s="12">
        <v>4</v>
      </c>
      <c r="E83" s="12">
        <v>3</v>
      </c>
      <c r="F83" s="12">
        <v>7</v>
      </c>
      <c r="G83" s="12">
        <v>5</v>
      </c>
      <c r="H83" s="12">
        <v>4</v>
      </c>
      <c r="I83" s="12">
        <v>5</v>
      </c>
      <c r="J83" s="13">
        <v>7</v>
      </c>
      <c r="W83">
        <f t="shared" si="21"/>
        <v>80</v>
      </c>
      <c r="X83" s="11">
        <f t="shared" si="20"/>
        <v>1.0201034865364365</v>
      </c>
      <c r="Y83" s="12">
        <f t="shared" si="20"/>
        <v>-0.29238417492594532</v>
      </c>
      <c r="Z83" s="12">
        <f t="shared" si="20"/>
        <v>0.33347618193389345</v>
      </c>
      <c r="AA83" s="12">
        <f t="shared" si="20"/>
        <v>-0.378023241178091</v>
      </c>
      <c r="AB83" s="12">
        <f t="shared" si="20"/>
        <v>0.30504398370210595</v>
      </c>
      <c r="AC83" s="12">
        <f t="shared" si="20"/>
        <v>-0.73660266912250705</v>
      </c>
      <c r="AD83" s="12">
        <f t="shared" si="20"/>
        <v>-0.32502325131756366</v>
      </c>
      <c r="AE83" s="12">
        <f t="shared" si="20"/>
        <v>0.2887653941537715</v>
      </c>
      <c r="AF83" s="13">
        <f t="shared" si="20"/>
        <v>-0.50985434813354169</v>
      </c>
    </row>
    <row r="84" spans="1:49" x14ac:dyDescent="0.25">
      <c r="A84">
        <v>81</v>
      </c>
      <c r="B84" s="11">
        <v>4</v>
      </c>
      <c r="C84" s="12">
        <v>8</v>
      </c>
      <c r="D84" s="12">
        <v>5</v>
      </c>
      <c r="E84" s="12">
        <v>4</v>
      </c>
      <c r="F84" s="12">
        <v>7</v>
      </c>
      <c r="G84" s="12">
        <v>6</v>
      </c>
      <c r="H84" s="12">
        <v>8</v>
      </c>
      <c r="I84" s="12">
        <v>4</v>
      </c>
      <c r="J84" s="13">
        <v>7</v>
      </c>
      <c r="W84">
        <f t="shared" si="21"/>
        <v>81</v>
      </c>
      <c r="X84" s="11">
        <f t="shared" si="20"/>
        <v>0.23034594857274363</v>
      </c>
      <c r="Y84" s="12">
        <f t="shared" si="20"/>
        <v>-0.29238417492594532</v>
      </c>
      <c r="Z84" s="12">
        <f t="shared" si="20"/>
        <v>0.93979651272279086</v>
      </c>
      <c r="AA84" s="12">
        <f t="shared" si="20"/>
        <v>0.60812434450388564</v>
      </c>
      <c r="AB84" s="12">
        <f t="shared" si="20"/>
        <v>0.30504398370210595</v>
      </c>
      <c r="AC84" s="12">
        <f t="shared" si="20"/>
        <v>-6.0876253646491192E-3</v>
      </c>
      <c r="AD84" s="12">
        <f t="shared" si="20"/>
        <v>1.2196417054391744</v>
      </c>
      <c r="AE84" s="12">
        <f t="shared" si="20"/>
        <v>-0.76129058458721444</v>
      </c>
      <c r="AF84" s="13">
        <f t="shared" si="20"/>
        <v>-0.50985434813354169</v>
      </c>
      <c r="AI84" t="s">
        <v>43</v>
      </c>
    </row>
    <row r="85" spans="1:49" x14ac:dyDescent="0.25">
      <c r="A85">
        <v>82</v>
      </c>
      <c r="B85" s="11">
        <v>4</v>
      </c>
      <c r="C85" s="12">
        <v>8</v>
      </c>
      <c r="D85" s="12">
        <v>3</v>
      </c>
      <c r="E85" s="12">
        <v>4</v>
      </c>
      <c r="F85" s="12">
        <v>7</v>
      </c>
      <c r="G85" s="12">
        <v>6</v>
      </c>
      <c r="H85" s="12">
        <v>3</v>
      </c>
      <c r="I85" s="12">
        <v>7</v>
      </c>
      <c r="J85" s="13">
        <v>8</v>
      </c>
      <c r="W85">
        <f t="shared" si="21"/>
        <v>82</v>
      </c>
      <c r="X85" s="11">
        <f t="shared" si="20"/>
        <v>0.23034594857274363</v>
      </c>
      <c r="Y85" s="12">
        <f t="shared" si="20"/>
        <v>-0.29238417492594532</v>
      </c>
      <c r="Z85" s="12">
        <f t="shared" si="20"/>
        <v>-0.27284414885500391</v>
      </c>
      <c r="AA85" s="12">
        <f t="shared" si="20"/>
        <v>0.60812434450388564</v>
      </c>
      <c r="AB85" s="12">
        <f t="shared" si="20"/>
        <v>0.30504398370210595</v>
      </c>
      <c r="AC85" s="12">
        <f t="shared" si="20"/>
        <v>-6.0876253646491192E-3</v>
      </c>
      <c r="AD85" s="12">
        <f t="shared" si="20"/>
        <v>-0.71118949050674818</v>
      </c>
      <c r="AE85" s="12">
        <f t="shared" si="20"/>
        <v>2.3888773516357436</v>
      </c>
      <c r="AF85" s="13">
        <f t="shared" si="20"/>
        <v>1.1896601456449316</v>
      </c>
    </row>
    <row r="86" spans="1:49" x14ac:dyDescent="0.25">
      <c r="A86">
        <v>83</v>
      </c>
      <c r="B86" s="11">
        <v>5</v>
      </c>
      <c r="C86" s="12">
        <v>8</v>
      </c>
      <c r="D86" s="12">
        <v>3</v>
      </c>
      <c r="E86" s="12">
        <v>3</v>
      </c>
      <c r="F86" s="12">
        <v>7</v>
      </c>
      <c r="G86" s="12">
        <v>6</v>
      </c>
      <c r="H86" s="12">
        <v>1</v>
      </c>
      <c r="I86" s="12">
        <v>4</v>
      </c>
      <c r="J86" s="13">
        <v>7</v>
      </c>
      <c r="W86">
        <f t="shared" si="21"/>
        <v>83</v>
      </c>
      <c r="X86" s="11">
        <f t="shared" si="20"/>
        <v>1.0201034865364365</v>
      </c>
      <c r="Y86" s="12">
        <f t="shared" si="20"/>
        <v>-0.29238417492594532</v>
      </c>
      <c r="Z86" s="12">
        <f t="shared" si="20"/>
        <v>-0.27284414885500391</v>
      </c>
      <c r="AA86" s="12">
        <f t="shared" si="20"/>
        <v>-0.378023241178091</v>
      </c>
      <c r="AB86" s="12">
        <f t="shared" si="20"/>
        <v>0.30504398370210595</v>
      </c>
      <c r="AC86" s="12">
        <f t="shared" si="20"/>
        <v>-6.0876253646491192E-3</v>
      </c>
      <c r="AD86" s="12">
        <f t="shared" si="20"/>
        <v>-1.4835219688851171</v>
      </c>
      <c r="AE86" s="12">
        <f t="shared" si="20"/>
        <v>-0.76129058458721444</v>
      </c>
      <c r="AF86" s="13">
        <f t="shared" si="20"/>
        <v>-0.50985434813354169</v>
      </c>
      <c r="AI86" t="s">
        <v>39</v>
      </c>
      <c r="AS86" s="7" t="s">
        <v>42</v>
      </c>
      <c r="AT86" s="7"/>
      <c r="AU86" s="7" t="s">
        <v>41</v>
      </c>
      <c r="AV86" s="7"/>
      <c r="AW86" s="7" t="s">
        <v>40</v>
      </c>
    </row>
    <row r="87" spans="1:49" x14ac:dyDescent="0.25">
      <c r="A87">
        <v>84</v>
      </c>
      <c r="B87" s="11">
        <v>2</v>
      </c>
      <c r="C87" s="12">
        <v>9</v>
      </c>
      <c r="D87" s="12">
        <v>6</v>
      </c>
      <c r="E87" s="12">
        <v>4</v>
      </c>
      <c r="F87" s="12">
        <v>8</v>
      </c>
      <c r="G87" s="12">
        <v>6</v>
      </c>
      <c r="H87" s="12">
        <v>8</v>
      </c>
      <c r="I87" s="12">
        <v>5</v>
      </c>
      <c r="J87" s="13">
        <v>8</v>
      </c>
      <c r="W87">
        <f t="shared" si="21"/>
        <v>84</v>
      </c>
      <c r="X87" s="11">
        <f t="shared" si="20"/>
        <v>-1.349169127354642</v>
      </c>
      <c r="Y87" s="12">
        <f t="shared" si="20"/>
        <v>1.4619208746297327</v>
      </c>
      <c r="Z87" s="12">
        <f t="shared" si="20"/>
        <v>1.5461168435116881</v>
      </c>
      <c r="AA87" s="12">
        <f t="shared" si="20"/>
        <v>0.60812434450388564</v>
      </c>
      <c r="AB87" s="12">
        <f t="shared" si="20"/>
        <v>1.3509090706807538</v>
      </c>
      <c r="AC87" s="12">
        <f t="shared" si="20"/>
        <v>-6.0876253646491192E-3</v>
      </c>
      <c r="AD87" s="12">
        <f t="shared" si="20"/>
        <v>1.2196417054391744</v>
      </c>
      <c r="AE87" s="12">
        <f t="shared" si="20"/>
        <v>0.2887653941537715</v>
      </c>
      <c r="AF87" s="13">
        <f t="shared" si="20"/>
        <v>1.1896601456449316</v>
      </c>
      <c r="AI87" s="8">
        <f t="array" ref="AI87:AQ95">AI61:AQ69</f>
        <v>0.1086728</v>
      </c>
      <c r="AJ87" s="9">
        <v>0.63924828</v>
      </c>
      <c r="AK87" s="9">
        <v>0.25729560000000001</v>
      </c>
      <c r="AL87" s="9">
        <v>-0.11377569999999999</v>
      </c>
      <c r="AM87" s="9">
        <v>-0.41709285000000001</v>
      </c>
      <c r="AN87" s="9">
        <v>9.5945440000000007E-2</v>
      </c>
      <c r="AO87" s="9">
        <v>0.48082964</v>
      </c>
      <c r="AP87" s="9">
        <v>0.28424031999999999</v>
      </c>
      <c r="AQ87" s="10">
        <v>-7.2417190000000006E-2</v>
      </c>
      <c r="AS87" s="30">
        <f t="array" ref="AS87:AS95">AW61:AW69</f>
        <v>0.78250216139201423</v>
      </c>
      <c r="AU87" s="30">
        <f t="array" ref="AU87:AU95">MMULT(AI87:AQ95,AS87:AS95)</f>
        <v>-1.3491691808682185</v>
      </c>
      <c r="AW87" s="30">
        <f t="array" ref="AW87:AW95">AU87:AU95*TRANSPOSE(B127:J127)+TRANSPOSE(B126:J126)</f>
        <v>1.9999999322404993</v>
      </c>
    </row>
    <row r="88" spans="1:49" x14ac:dyDescent="0.25">
      <c r="A88">
        <v>85</v>
      </c>
      <c r="B88" s="11">
        <v>5</v>
      </c>
      <c r="C88" s="12">
        <v>8</v>
      </c>
      <c r="D88" s="12">
        <v>4</v>
      </c>
      <c r="E88" s="12">
        <v>4</v>
      </c>
      <c r="F88" s="12">
        <v>7</v>
      </c>
      <c r="G88" s="12">
        <v>6</v>
      </c>
      <c r="H88" s="12">
        <v>5</v>
      </c>
      <c r="I88" s="12">
        <v>5</v>
      </c>
      <c r="J88" s="13">
        <v>7</v>
      </c>
      <c r="W88">
        <f t="shared" si="21"/>
        <v>85</v>
      </c>
      <c r="X88" s="11">
        <f t="shared" si="20"/>
        <v>1.0201034865364365</v>
      </c>
      <c r="Y88" s="12">
        <f t="shared" si="20"/>
        <v>-0.29238417492594532</v>
      </c>
      <c r="Z88" s="12">
        <f t="shared" si="20"/>
        <v>0.33347618193389345</v>
      </c>
      <c r="AA88" s="12">
        <f t="shared" si="20"/>
        <v>0.60812434450388564</v>
      </c>
      <c r="AB88" s="12">
        <f t="shared" si="20"/>
        <v>0.30504398370210595</v>
      </c>
      <c r="AC88" s="12">
        <f t="shared" si="20"/>
        <v>-6.0876253646491192E-3</v>
      </c>
      <c r="AD88" s="12">
        <f t="shared" si="20"/>
        <v>6.1142987871620834E-2</v>
      </c>
      <c r="AE88" s="12">
        <f t="shared" si="20"/>
        <v>0.2887653941537715</v>
      </c>
      <c r="AF88" s="13">
        <f t="shared" si="20"/>
        <v>-0.50985434813354169</v>
      </c>
      <c r="AI88" s="11">
        <v>-0.41155510000000001</v>
      </c>
      <c r="AJ88" s="12">
        <v>-0.25314344</v>
      </c>
      <c r="AK88" s="12">
        <v>0.18110409999999999</v>
      </c>
      <c r="AL88" s="12">
        <v>0.26161990000000002</v>
      </c>
      <c r="AM88" s="12">
        <v>-0.33963617000000002</v>
      </c>
      <c r="AN88" s="12">
        <v>-4.1004470000000001E-5</v>
      </c>
      <c r="AO88" s="12">
        <v>0.43645310999999998</v>
      </c>
      <c r="AP88" s="12">
        <v>-0.59253175000000002</v>
      </c>
      <c r="AQ88" s="13">
        <v>-9.1428529999999994E-2</v>
      </c>
      <c r="AS88" s="31">
        <v>-1.96757591032182</v>
      </c>
      <c r="AU88" s="31">
        <v>-0.29238421544495807</v>
      </c>
      <c r="AW88" s="31">
        <v>7.9999999769030978</v>
      </c>
    </row>
    <row r="89" spans="1:49" x14ac:dyDescent="0.25">
      <c r="A89">
        <v>86</v>
      </c>
      <c r="B89" s="11">
        <v>4</v>
      </c>
      <c r="C89" s="12">
        <v>8</v>
      </c>
      <c r="D89" s="12">
        <v>7</v>
      </c>
      <c r="E89" s="12">
        <v>5</v>
      </c>
      <c r="F89" s="12">
        <v>7</v>
      </c>
      <c r="G89" s="12">
        <v>6</v>
      </c>
      <c r="H89" s="12">
        <v>9</v>
      </c>
      <c r="I89" s="12">
        <v>6</v>
      </c>
      <c r="J89" s="13">
        <v>7</v>
      </c>
      <c r="W89">
        <f t="shared" si="21"/>
        <v>86</v>
      </c>
      <c r="X89" s="11">
        <f t="shared" si="20"/>
        <v>0.23034594857274363</v>
      </c>
      <c r="Y89" s="12">
        <f t="shared" si="20"/>
        <v>-0.29238417492594532</v>
      </c>
      <c r="Z89" s="12">
        <f t="shared" si="20"/>
        <v>2.1524371743005855</v>
      </c>
      <c r="AA89" s="12">
        <f t="shared" si="20"/>
        <v>1.5942719301858623</v>
      </c>
      <c r="AB89" s="12">
        <f t="shared" si="20"/>
        <v>0.30504398370210595</v>
      </c>
      <c r="AC89" s="12">
        <f t="shared" si="20"/>
        <v>-6.0876253646491192E-3</v>
      </c>
      <c r="AD89" s="12">
        <f t="shared" si="20"/>
        <v>1.6058079446283589</v>
      </c>
      <c r="AE89" s="12">
        <f t="shared" si="20"/>
        <v>1.3388213728947576</v>
      </c>
      <c r="AF89" s="13">
        <f t="shared" si="20"/>
        <v>-0.50985434813354169</v>
      </c>
      <c r="AI89" s="11">
        <v>-0.4443204</v>
      </c>
      <c r="AJ89" s="12">
        <v>0.29067886999999998</v>
      </c>
      <c r="AK89" s="12">
        <v>0.18728040000000001</v>
      </c>
      <c r="AL89" s="12">
        <v>0.30220259999999999</v>
      </c>
      <c r="AM89" s="12">
        <v>-3.0092029999999999E-2</v>
      </c>
      <c r="AN89" s="12">
        <v>0.1325276</v>
      </c>
      <c r="AO89" s="12">
        <v>-0.30089769999999999</v>
      </c>
      <c r="AP89" s="12">
        <v>6.3954960000000005E-2</v>
      </c>
      <c r="AQ89" s="13">
        <v>0.69179913999999998</v>
      </c>
      <c r="AS89" s="31">
        <v>0.23405806278856545</v>
      </c>
      <c r="AU89" s="31">
        <v>-1.485484905461687</v>
      </c>
      <c r="AW89" s="31">
        <v>0.99999984326950031</v>
      </c>
    </row>
    <row r="90" spans="1:49" x14ac:dyDescent="0.25">
      <c r="A90">
        <v>87</v>
      </c>
      <c r="B90" s="11">
        <v>5</v>
      </c>
      <c r="C90" s="12">
        <v>7</v>
      </c>
      <c r="D90" s="12">
        <v>2</v>
      </c>
      <c r="E90" s="12">
        <v>3</v>
      </c>
      <c r="F90" s="12">
        <v>5</v>
      </c>
      <c r="G90" s="12">
        <v>5</v>
      </c>
      <c r="H90" s="12">
        <v>1</v>
      </c>
      <c r="I90" s="12">
        <v>3</v>
      </c>
      <c r="J90" s="13">
        <v>7</v>
      </c>
      <c r="W90">
        <f t="shared" si="21"/>
        <v>87</v>
      </c>
      <c r="X90" s="11">
        <f t="shared" si="20"/>
        <v>1.0201034865364365</v>
      </c>
      <c r="Y90" s="12">
        <f t="shared" si="20"/>
        <v>-2.0466892244816233</v>
      </c>
      <c r="Z90" s="12">
        <f t="shared" si="20"/>
        <v>-0.87916447964390132</v>
      </c>
      <c r="AA90" s="12">
        <f t="shared" si="20"/>
        <v>-0.378023241178091</v>
      </c>
      <c r="AB90" s="12">
        <f t="shared" si="20"/>
        <v>-1.78668619025519</v>
      </c>
      <c r="AC90" s="12">
        <f t="shared" si="20"/>
        <v>-0.73660266912250705</v>
      </c>
      <c r="AD90" s="12">
        <f t="shared" si="20"/>
        <v>-1.4835219688851171</v>
      </c>
      <c r="AE90" s="12">
        <f t="shared" si="20"/>
        <v>-1.8113465633282004</v>
      </c>
      <c r="AF90" s="13">
        <f t="shared" si="20"/>
        <v>-0.50985434813354169</v>
      </c>
      <c r="AI90" s="11">
        <v>-0.21563850000000001</v>
      </c>
      <c r="AJ90" s="12">
        <v>0.13550086</v>
      </c>
      <c r="AK90" s="12">
        <v>0.18288109999999999</v>
      </c>
      <c r="AL90" s="12">
        <v>-0.83964139999999998</v>
      </c>
      <c r="AM90" s="12">
        <v>-2.8151909999999999E-2</v>
      </c>
      <c r="AN90" s="12">
        <v>8.2470010000000003E-3</v>
      </c>
      <c r="AO90" s="12">
        <v>-0.22139123999999999</v>
      </c>
      <c r="AP90" s="12">
        <v>-0.37879413000000001</v>
      </c>
      <c r="AQ90" s="13">
        <v>5.7764589999999998E-2</v>
      </c>
      <c r="AS90" s="31">
        <v>-1.123700785789747</v>
      </c>
      <c r="AU90" s="31">
        <v>0.60812438246515854</v>
      </c>
      <c r="AW90" s="31">
        <v>4.0000000384945151</v>
      </c>
    </row>
    <row r="91" spans="1:49" x14ac:dyDescent="0.25">
      <c r="A91">
        <v>88</v>
      </c>
      <c r="B91" s="11">
        <v>3</v>
      </c>
      <c r="C91" s="12">
        <v>8</v>
      </c>
      <c r="D91" s="12">
        <v>3</v>
      </c>
      <c r="E91" s="12">
        <v>2</v>
      </c>
      <c r="F91" s="12">
        <v>6</v>
      </c>
      <c r="G91" s="12">
        <v>6</v>
      </c>
      <c r="H91" s="12">
        <v>1</v>
      </c>
      <c r="I91" s="12">
        <v>5</v>
      </c>
      <c r="J91" s="13">
        <v>7</v>
      </c>
      <c r="W91">
        <f t="shared" si="21"/>
        <v>88</v>
      </c>
      <c r="X91" s="11">
        <f t="shared" si="20"/>
        <v>-0.55941158939094915</v>
      </c>
      <c r="Y91" s="12">
        <f t="shared" si="20"/>
        <v>-0.29238417492594532</v>
      </c>
      <c r="Z91" s="12">
        <f t="shared" si="20"/>
        <v>-0.27284414885500391</v>
      </c>
      <c r="AA91" s="12">
        <f t="shared" si="20"/>
        <v>-1.3641708268600676</v>
      </c>
      <c r="AB91" s="12">
        <f t="shared" si="20"/>
        <v>-0.74082110327654205</v>
      </c>
      <c r="AC91" s="12">
        <f t="shared" si="20"/>
        <v>-6.0876253646491192E-3</v>
      </c>
      <c r="AD91" s="12">
        <f t="shared" si="20"/>
        <v>-1.4835219688851171</v>
      </c>
      <c r="AE91" s="12">
        <f t="shared" si="20"/>
        <v>0.2887653941537715</v>
      </c>
      <c r="AF91" s="13">
        <f t="shared" si="20"/>
        <v>-0.50985434813354169</v>
      </c>
      <c r="AI91" s="11">
        <v>-0.34065990000000002</v>
      </c>
      <c r="AJ91" s="12">
        <v>3.6795370000000001E-2</v>
      </c>
      <c r="AK91" s="12">
        <v>-0.41963149999999999</v>
      </c>
      <c r="AL91" s="12">
        <v>-0.15599940000000001</v>
      </c>
      <c r="AM91" s="12">
        <v>0.42356978000000001</v>
      </c>
      <c r="AN91" s="12">
        <v>0.55990859999999998</v>
      </c>
      <c r="AO91" s="12">
        <v>0.42454929000000002</v>
      </c>
      <c r="AP91" s="12">
        <v>8.8223689999999994E-2</v>
      </c>
      <c r="AQ91" s="13">
        <v>3.5155649999999997E-2</v>
      </c>
      <c r="AS91" s="31">
        <v>0.76567912891861323</v>
      </c>
      <c r="AU91" s="31">
        <v>0.30504401339180709</v>
      </c>
      <c r="AW91" s="31">
        <v>7.0000000283876966</v>
      </c>
    </row>
    <row r="92" spans="1:49" x14ac:dyDescent="0.25">
      <c r="A92">
        <v>89</v>
      </c>
      <c r="B92" s="11">
        <v>2</v>
      </c>
      <c r="C92" s="12">
        <v>8</v>
      </c>
      <c r="D92" s="12">
        <v>4</v>
      </c>
      <c r="E92" s="12">
        <v>2</v>
      </c>
      <c r="F92" s="12">
        <v>7</v>
      </c>
      <c r="G92" s="12">
        <v>6</v>
      </c>
      <c r="H92" s="12">
        <v>5</v>
      </c>
      <c r="I92" s="12">
        <v>6</v>
      </c>
      <c r="J92" s="13">
        <v>7</v>
      </c>
      <c r="W92">
        <f t="shared" si="21"/>
        <v>89</v>
      </c>
      <c r="X92" s="11">
        <f t="shared" si="20"/>
        <v>-1.349169127354642</v>
      </c>
      <c r="Y92" s="12">
        <f t="shared" si="20"/>
        <v>-0.29238417492594532</v>
      </c>
      <c r="Z92" s="12">
        <f t="shared" si="20"/>
        <v>0.33347618193389345</v>
      </c>
      <c r="AA92" s="12">
        <f t="shared" si="20"/>
        <v>-1.3641708268600676</v>
      </c>
      <c r="AB92" s="12">
        <f t="shared" si="20"/>
        <v>0.30504398370210595</v>
      </c>
      <c r="AC92" s="12">
        <f t="shared" si="20"/>
        <v>-6.0876253646491192E-3</v>
      </c>
      <c r="AD92" s="12">
        <f t="shared" si="20"/>
        <v>6.1142987871620834E-2</v>
      </c>
      <c r="AE92" s="12">
        <f t="shared" si="20"/>
        <v>1.3388213728947576</v>
      </c>
      <c r="AF92" s="13">
        <f t="shared" si="20"/>
        <v>-0.50985434813354169</v>
      </c>
      <c r="AI92" s="11">
        <v>-0.176567</v>
      </c>
      <c r="AJ92" s="12">
        <v>2.533519E-2</v>
      </c>
      <c r="AK92" s="12">
        <v>-0.71451310000000001</v>
      </c>
      <c r="AL92" s="12">
        <v>-6.2973500000000002E-2</v>
      </c>
      <c r="AM92" s="12">
        <v>-0.63254626000000003</v>
      </c>
      <c r="AN92" s="12">
        <v>-2.9625180000000001E-2</v>
      </c>
      <c r="AO92" s="12">
        <v>-0.21612683999999999</v>
      </c>
      <c r="AP92" s="12">
        <v>7.2965600000000005E-2</v>
      </c>
      <c r="AQ92" s="13">
        <v>-2.569923E-2</v>
      </c>
      <c r="AS92" s="31">
        <v>0.66142586048981611</v>
      </c>
      <c r="AU92" s="31">
        <v>-0.73660268301689791</v>
      </c>
      <c r="AW92" s="31">
        <v>4.9999999809800073</v>
      </c>
    </row>
    <row r="93" spans="1:49" x14ac:dyDescent="0.25">
      <c r="A93">
        <v>90</v>
      </c>
      <c r="B93" s="33">
        <v>3</v>
      </c>
      <c r="C93" s="34">
        <v>8</v>
      </c>
      <c r="D93" s="34">
        <v>2</v>
      </c>
      <c r="E93" s="34">
        <v>4</v>
      </c>
      <c r="F93" s="34">
        <v>8</v>
      </c>
      <c r="G93" s="34">
        <v>7</v>
      </c>
      <c r="H93" s="34">
        <v>3</v>
      </c>
      <c r="I93" s="34">
        <v>5</v>
      </c>
      <c r="J93" s="35">
        <v>8</v>
      </c>
      <c r="W93">
        <f t="shared" si="21"/>
        <v>90</v>
      </c>
      <c r="X93" s="11">
        <f t="shared" si="20"/>
        <v>-0.55941158939094915</v>
      </c>
      <c r="Y93" s="12">
        <f t="shared" si="20"/>
        <v>-0.29238417492594532</v>
      </c>
      <c r="Z93" s="12">
        <f t="shared" si="20"/>
        <v>-0.87916447964390132</v>
      </c>
      <c r="AA93" s="12">
        <f t="shared" ref="AA93:AF123" si="22">STANDARDIZE(E93,E$126,E$127)</f>
        <v>0.60812434450388564</v>
      </c>
      <c r="AB93" s="12">
        <f t="shared" si="22"/>
        <v>1.3509090706807538</v>
      </c>
      <c r="AC93" s="12">
        <f t="shared" si="22"/>
        <v>0.72442741839320879</v>
      </c>
      <c r="AD93" s="12">
        <f t="shared" si="22"/>
        <v>-0.71118949050674818</v>
      </c>
      <c r="AE93" s="12">
        <f t="shared" si="22"/>
        <v>0.2887653941537715</v>
      </c>
      <c r="AF93" s="13">
        <f t="shared" si="22"/>
        <v>1.1896601456449316</v>
      </c>
      <c r="AI93" s="11">
        <v>-0.48149530000000001</v>
      </c>
      <c r="AJ93" s="12">
        <v>0.19955381999999999</v>
      </c>
      <c r="AK93" s="12">
        <v>0.18029729999999999</v>
      </c>
      <c r="AL93" s="12">
        <v>0.1644359</v>
      </c>
      <c r="AM93" s="12">
        <v>8.9082069999999999E-2</v>
      </c>
      <c r="AN93" s="12">
        <v>9.9150810000000006E-2</v>
      </c>
      <c r="AO93" s="12">
        <v>-0.36144072999999999</v>
      </c>
      <c r="AP93" s="12">
        <v>0.16784172</v>
      </c>
      <c r="AQ93" s="13">
        <v>-0.70158215000000002</v>
      </c>
      <c r="AS93" s="31">
        <v>-0.22280963392105074</v>
      </c>
      <c r="AU93" s="31">
        <v>-0.32502326470312509</v>
      </c>
      <c r="AW93" s="31">
        <v>3.9999999653373077</v>
      </c>
    </row>
    <row r="94" spans="1:49" x14ac:dyDescent="0.25">
      <c r="A94">
        <v>91</v>
      </c>
      <c r="B94" s="11">
        <v>5</v>
      </c>
      <c r="C94" s="12">
        <v>8</v>
      </c>
      <c r="D94" s="12">
        <v>3</v>
      </c>
      <c r="E94" s="12">
        <v>2</v>
      </c>
      <c r="F94" s="12">
        <v>5</v>
      </c>
      <c r="G94" s="12">
        <v>5</v>
      </c>
      <c r="H94" s="12">
        <v>5</v>
      </c>
      <c r="I94" s="12">
        <v>4</v>
      </c>
      <c r="J94" s="13">
        <v>7</v>
      </c>
      <c r="W94">
        <f t="shared" si="21"/>
        <v>91</v>
      </c>
      <c r="X94" s="11">
        <f t="shared" ref="X94:Z123" si="23">STANDARDIZE(B94,B$126,B$127)</f>
        <v>1.0201034865364365</v>
      </c>
      <c r="Y94" s="12">
        <f t="shared" si="23"/>
        <v>-0.29238417492594532</v>
      </c>
      <c r="Z94" s="12">
        <f t="shared" si="23"/>
        <v>-0.27284414885500391</v>
      </c>
      <c r="AA94" s="12">
        <f t="shared" si="22"/>
        <v>-1.3641708268600676</v>
      </c>
      <c r="AB94" s="12">
        <f t="shared" si="22"/>
        <v>-1.78668619025519</v>
      </c>
      <c r="AC94" s="12">
        <f t="shared" si="22"/>
        <v>-0.73660266912250705</v>
      </c>
      <c r="AD94" s="12">
        <f t="shared" si="22"/>
        <v>6.1142987871620834E-2</v>
      </c>
      <c r="AE94" s="12">
        <f t="shared" si="22"/>
        <v>-0.76129058458721444</v>
      </c>
      <c r="AF94" s="13">
        <f t="shared" si="22"/>
        <v>-0.50985434813354169</v>
      </c>
      <c r="AI94" s="11">
        <v>-0.4053139</v>
      </c>
      <c r="AJ94" s="12">
        <v>2.943374E-2</v>
      </c>
      <c r="AK94" s="12">
        <v>-0.1075513</v>
      </c>
      <c r="AL94" s="12">
        <v>-0.1162147</v>
      </c>
      <c r="AM94" s="12">
        <v>0.21498491</v>
      </c>
      <c r="AN94" s="12">
        <v>-0.78277719999999995</v>
      </c>
      <c r="AO94" s="12">
        <v>0.28183459999999999</v>
      </c>
      <c r="AP94" s="12">
        <v>0.25913254000000002</v>
      </c>
      <c r="AQ94" s="13">
        <v>6.513041E-2</v>
      </c>
      <c r="AS94" s="31">
        <v>-0.14963600785753517</v>
      </c>
      <c r="AU94" s="31">
        <v>-0.76129053544111458</v>
      </c>
      <c r="AW94" s="31">
        <v>4.0000000468033141</v>
      </c>
    </row>
    <row r="95" spans="1:49" x14ac:dyDescent="0.25">
      <c r="A95">
        <v>92</v>
      </c>
      <c r="B95" s="11">
        <v>3</v>
      </c>
      <c r="C95" s="12">
        <v>8</v>
      </c>
      <c r="D95" s="12">
        <v>2</v>
      </c>
      <c r="E95" s="12">
        <v>4</v>
      </c>
      <c r="F95" s="12">
        <v>6</v>
      </c>
      <c r="G95" s="12">
        <v>6</v>
      </c>
      <c r="H95" s="12">
        <v>7</v>
      </c>
      <c r="I95" s="12">
        <v>4</v>
      </c>
      <c r="J95" s="13">
        <v>7</v>
      </c>
      <c r="W95">
        <f t="shared" si="21"/>
        <v>92</v>
      </c>
      <c r="X95" s="11">
        <f t="shared" si="23"/>
        <v>-0.55941158939094915</v>
      </c>
      <c r="Y95" s="12">
        <f t="shared" si="23"/>
        <v>-0.29238417492594532</v>
      </c>
      <c r="Z95" s="12">
        <f t="shared" si="23"/>
        <v>-0.87916447964390132</v>
      </c>
      <c r="AA95" s="12">
        <f t="shared" si="22"/>
        <v>0.60812434450388564</v>
      </c>
      <c r="AB95" s="12">
        <f t="shared" si="22"/>
        <v>-0.74082110327654205</v>
      </c>
      <c r="AC95" s="12">
        <f t="shared" si="22"/>
        <v>-6.0876253646491192E-3</v>
      </c>
      <c r="AD95" s="12">
        <f t="shared" si="22"/>
        <v>0.8334754662499898</v>
      </c>
      <c r="AE95" s="12">
        <f t="shared" si="22"/>
        <v>-0.76129058458721444</v>
      </c>
      <c r="AF95" s="13">
        <f t="shared" si="22"/>
        <v>-0.50985434813354169</v>
      </c>
      <c r="AI95" s="14">
        <v>-0.17762259999999999</v>
      </c>
      <c r="AJ95" s="15">
        <v>-0.61785234</v>
      </c>
      <c r="AK95" s="15">
        <v>0.31904060000000001</v>
      </c>
      <c r="AL95" s="15">
        <v>-0.23116990000000001</v>
      </c>
      <c r="AM95" s="15">
        <v>-0.27441303</v>
      </c>
      <c r="AN95" s="15">
        <v>0.19030620000000001</v>
      </c>
      <c r="AO95" s="15">
        <v>4.1652960000000003E-2</v>
      </c>
      <c r="AP95" s="15">
        <v>0.55866844000000004</v>
      </c>
      <c r="AQ95" s="16">
        <v>7.8217099999999998E-2</v>
      </c>
      <c r="AS95" s="32">
        <v>-0.56694051749265395</v>
      </c>
      <c r="AU95" s="32">
        <v>1.1896602082952665</v>
      </c>
      <c r="AW95" s="32">
        <v>8.0000000368636659</v>
      </c>
    </row>
    <row r="96" spans="1:49" x14ac:dyDescent="0.25">
      <c r="A96">
        <v>93</v>
      </c>
      <c r="B96" s="11">
        <v>3</v>
      </c>
      <c r="C96" s="12">
        <v>8</v>
      </c>
      <c r="D96" s="12">
        <v>2</v>
      </c>
      <c r="E96" s="12">
        <v>2</v>
      </c>
      <c r="F96" s="12">
        <v>7</v>
      </c>
      <c r="G96" s="12">
        <v>8</v>
      </c>
      <c r="H96" s="12">
        <v>1</v>
      </c>
      <c r="I96" s="12">
        <v>4</v>
      </c>
      <c r="J96" s="13">
        <v>7</v>
      </c>
      <c r="W96">
        <f t="shared" si="21"/>
        <v>93</v>
      </c>
      <c r="X96" s="11">
        <f t="shared" si="23"/>
        <v>-0.55941158939094915</v>
      </c>
      <c r="Y96" s="12">
        <f t="shared" si="23"/>
        <v>-0.29238417492594532</v>
      </c>
      <c r="Z96" s="12">
        <f t="shared" si="23"/>
        <v>-0.87916447964390132</v>
      </c>
      <c r="AA96" s="12">
        <f t="shared" si="22"/>
        <v>-1.3641708268600676</v>
      </c>
      <c r="AB96" s="12">
        <f t="shared" si="22"/>
        <v>0.30504398370210595</v>
      </c>
      <c r="AC96" s="12">
        <f t="shared" si="22"/>
        <v>1.4549424621510667</v>
      </c>
      <c r="AD96" s="12">
        <f t="shared" si="22"/>
        <v>-1.4835219688851171</v>
      </c>
      <c r="AE96" s="12">
        <f t="shared" si="22"/>
        <v>-0.76129058458721444</v>
      </c>
      <c r="AF96" s="13">
        <f t="shared" si="22"/>
        <v>-0.50985434813354169</v>
      </c>
    </row>
    <row r="97" spans="1:32" x14ac:dyDescent="0.25">
      <c r="A97">
        <v>94</v>
      </c>
      <c r="B97" s="11">
        <v>3</v>
      </c>
      <c r="C97" s="12">
        <v>8</v>
      </c>
      <c r="D97" s="12">
        <v>2</v>
      </c>
      <c r="E97" s="12">
        <v>2</v>
      </c>
      <c r="F97" s="12">
        <v>6</v>
      </c>
      <c r="G97" s="12">
        <v>4</v>
      </c>
      <c r="H97" s="12">
        <v>4</v>
      </c>
      <c r="I97" s="12">
        <v>5</v>
      </c>
      <c r="J97" s="13">
        <v>7</v>
      </c>
      <c r="W97">
        <f t="shared" si="21"/>
        <v>94</v>
      </c>
      <c r="X97" s="11">
        <f t="shared" si="23"/>
        <v>-0.55941158939094915</v>
      </c>
      <c r="Y97" s="12">
        <f t="shared" si="23"/>
        <v>-0.29238417492594532</v>
      </c>
      <c r="Z97" s="12">
        <f t="shared" si="23"/>
        <v>-0.87916447964390132</v>
      </c>
      <c r="AA97" s="12">
        <f t="shared" si="22"/>
        <v>-1.3641708268600676</v>
      </c>
      <c r="AB97" s="12">
        <f t="shared" si="22"/>
        <v>-0.74082110327654205</v>
      </c>
      <c r="AC97" s="12">
        <f t="shared" si="22"/>
        <v>-1.467117712880365</v>
      </c>
      <c r="AD97" s="12">
        <f t="shared" si="22"/>
        <v>-0.32502325131756366</v>
      </c>
      <c r="AE97" s="12">
        <f t="shared" si="22"/>
        <v>0.2887653941537715</v>
      </c>
      <c r="AF97" s="13">
        <f t="shared" si="22"/>
        <v>-0.50985434813354169</v>
      </c>
    </row>
    <row r="98" spans="1:32" x14ac:dyDescent="0.25">
      <c r="A98">
        <v>95</v>
      </c>
      <c r="B98" s="11">
        <v>4</v>
      </c>
      <c r="C98" s="12">
        <v>8</v>
      </c>
      <c r="D98" s="12">
        <v>3</v>
      </c>
      <c r="E98" s="12">
        <v>3</v>
      </c>
      <c r="F98" s="12">
        <v>5</v>
      </c>
      <c r="G98" s="12">
        <v>5</v>
      </c>
      <c r="H98" s="12">
        <v>1</v>
      </c>
      <c r="I98" s="12">
        <v>4</v>
      </c>
      <c r="J98" s="13">
        <v>8</v>
      </c>
      <c r="W98">
        <f t="shared" si="21"/>
        <v>95</v>
      </c>
      <c r="X98" s="11">
        <f t="shared" si="23"/>
        <v>0.23034594857274363</v>
      </c>
      <c r="Y98" s="12">
        <f t="shared" si="23"/>
        <v>-0.29238417492594532</v>
      </c>
      <c r="Z98" s="12">
        <f t="shared" si="23"/>
        <v>-0.27284414885500391</v>
      </c>
      <c r="AA98" s="12">
        <f t="shared" si="22"/>
        <v>-0.378023241178091</v>
      </c>
      <c r="AB98" s="12">
        <f t="shared" si="22"/>
        <v>-1.78668619025519</v>
      </c>
      <c r="AC98" s="12">
        <f t="shared" si="22"/>
        <v>-0.73660266912250705</v>
      </c>
      <c r="AD98" s="12">
        <f t="shared" si="22"/>
        <v>-1.4835219688851171</v>
      </c>
      <c r="AE98" s="12">
        <f t="shared" si="22"/>
        <v>-0.76129058458721444</v>
      </c>
      <c r="AF98" s="13">
        <f t="shared" si="22"/>
        <v>1.1896601456449316</v>
      </c>
    </row>
    <row r="99" spans="1:32" x14ac:dyDescent="0.25">
      <c r="A99">
        <v>96</v>
      </c>
      <c r="B99" s="11">
        <v>5</v>
      </c>
      <c r="C99" s="12">
        <v>8</v>
      </c>
      <c r="D99" s="12">
        <v>2</v>
      </c>
      <c r="E99" s="12">
        <v>3</v>
      </c>
      <c r="F99" s="12">
        <v>7</v>
      </c>
      <c r="G99" s="12">
        <v>6</v>
      </c>
      <c r="H99" s="12">
        <v>5</v>
      </c>
      <c r="I99" s="12">
        <v>4</v>
      </c>
      <c r="J99" s="13">
        <v>7</v>
      </c>
      <c r="W99">
        <f t="shared" si="21"/>
        <v>96</v>
      </c>
      <c r="X99" s="11">
        <f t="shared" si="23"/>
        <v>1.0201034865364365</v>
      </c>
      <c r="Y99" s="12">
        <f t="shared" si="23"/>
        <v>-0.29238417492594532</v>
      </c>
      <c r="Z99" s="12">
        <f t="shared" si="23"/>
        <v>-0.87916447964390132</v>
      </c>
      <c r="AA99" s="12">
        <f t="shared" si="22"/>
        <v>-0.378023241178091</v>
      </c>
      <c r="AB99" s="12">
        <f t="shared" si="22"/>
        <v>0.30504398370210595</v>
      </c>
      <c r="AC99" s="12">
        <f t="shared" si="22"/>
        <v>-6.0876253646491192E-3</v>
      </c>
      <c r="AD99" s="12">
        <f t="shared" si="22"/>
        <v>6.1142987871620834E-2</v>
      </c>
      <c r="AE99" s="12">
        <f t="shared" si="22"/>
        <v>-0.76129058458721444</v>
      </c>
      <c r="AF99" s="13">
        <f t="shared" si="22"/>
        <v>-0.50985434813354169</v>
      </c>
    </row>
    <row r="100" spans="1:32" x14ac:dyDescent="0.25">
      <c r="A100">
        <v>97</v>
      </c>
      <c r="B100" s="11">
        <v>4</v>
      </c>
      <c r="C100" s="12">
        <v>9</v>
      </c>
      <c r="D100" s="12">
        <v>2</v>
      </c>
      <c r="E100" s="12">
        <v>3</v>
      </c>
      <c r="F100" s="12">
        <v>7</v>
      </c>
      <c r="G100" s="12">
        <v>7</v>
      </c>
      <c r="H100" s="12">
        <v>6</v>
      </c>
      <c r="I100" s="12">
        <v>6</v>
      </c>
      <c r="J100" s="13">
        <v>6</v>
      </c>
      <c r="W100">
        <f t="shared" si="21"/>
        <v>97</v>
      </c>
      <c r="X100" s="11">
        <f t="shared" si="23"/>
        <v>0.23034594857274363</v>
      </c>
      <c r="Y100" s="12">
        <f t="shared" si="23"/>
        <v>1.4619208746297327</v>
      </c>
      <c r="Z100" s="12">
        <f t="shared" si="23"/>
        <v>-0.87916447964390132</v>
      </c>
      <c r="AA100" s="12">
        <f t="shared" si="22"/>
        <v>-0.378023241178091</v>
      </c>
      <c r="AB100" s="12">
        <f t="shared" si="22"/>
        <v>0.30504398370210595</v>
      </c>
      <c r="AC100" s="12">
        <f t="shared" si="22"/>
        <v>0.72442741839320879</v>
      </c>
      <c r="AD100" s="12">
        <f t="shared" si="22"/>
        <v>0.44730922706080534</v>
      </c>
      <c r="AE100" s="12">
        <f t="shared" si="22"/>
        <v>1.3388213728947576</v>
      </c>
      <c r="AF100" s="13">
        <f t="shared" si="22"/>
        <v>-2.2093688419120152</v>
      </c>
    </row>
    <row r="101" spans="1:32" x14ac:dyDescent="0.25">
      <c r="A101">
        <v>98</v>
      </c>
      <c r="B101" s="11">
        <v>4</v>
      </c>
      <c r="C101" s="12">
        <v>8</v>
      </c>
      <c r="D101" s="12">
        <v>3</v>
      </c>
      <c r="E101" s="12">
        <v>3</v>
      </c>
      <c r="F101" s="12">
        <v>6</v>
      </c>
      <c r="G101" s="12">
        <v>6</v>
      </c>
      <c r="H101" s="12">
        <v>5</v>
      </c>
      <c r="I101" s="12">
        <v>5</v>
      </c>
      <c r="J101" s="13">
        <v>7</v>
      </c>
      <c r="W101">
        <f t="shared" si="21"/>
        <v>98</v>
      </c>
      <c r="X101" s="11">
        <f t="shared" si="23"/>
        <v>0.23034594857274363</v>
      </c>
      <c r="Y101" s="12">
        <f t="shared" si="23"/>
        <v>-0.29238417492594532</v>
      </c>
      <c r="Z101" s="12">
        <f t="shared" si="23"/>
        <v>-0.27284414885500391</v>
      </c>
      <c r="AA101" s="12">
        <f t="shared" si="22"/>
        <v>-0.378023241178091</v>
      </c>
      <c r="AB101" s="12">
        <f t="shared" si="22"/>
        <v>-0.74082110327654205</v>
      </c>
      <c r="AC101" s="12">
        <f t="shared" si="22"/>
        <v>-6.0876253646491192E-3</v>
      </c>
      <c r="AD101" s="12">
        <f t="shared" si="22"/>
        <v>6.1142987871620834E-2</v>
      </c>
      <c r="AE101" s="12">
        <f t="shared" si="22"/>
        <v>0.2887653941537715</v>
      </c>
      <c r="AF101" s="13">
        <f t="shared" si="22"/>
        <v>-0.50985434813354169</v>
      </c>
    </row>
    <row r="102" spans="1:32" x14ac:dyDescent="0.25">
      <c r="A102">
        <v>99</v>
      </c>
      <c r="B102" s="11">
        <v>3</v>
      </c>
      <c r="C102" s="12">
        <v>8</v>
      </c>
      <c r="D102" s="12">
        <v>3</v>
      </c>
      <c r="E102" s="12">
        <v>3</v>
      </c>
      <c r="F102" s="12">
        <v>7</v>
      </c>
      <c r="G102" s="12">
        <v>5</v>
      </c>
      <c r="H102" s="12">
        <v>3</v>
      </c>
      <c r="I102" s="12">
        <v>5</v>
      </c>
      <c r="J102" s="13">
        <v>7</v>
      </c>
      <c r="W102">
        <f t="shared" si="21"/>
        <v>99</v>
      </c>
      <c r="X102" s="11">
        <f t="shared" si="23"/>
        <v>-0.55941158939094915</v>
      </c>
      <c r="Y102" s="12">
        <f t="shared" si="23"/>
        <v>-0.29238417492594532</v>
      </c>
      <c r="Z102" s="12">
        <f t="shared" si="23"/>
        <v>-0.27284414885500391</v>
      </c>
      <c r="AA102" s="12">
        <f t="shared" si="22"/>
        <v>-0.378023241178091</v>
      </c>
      <c r="AB102" s="12">
        <f t="shared" si="22"/>
        <v>0.30504398370210595</v>
      </c>
      <c r="AC102" s="12">
        <f t="shared" si="22"/>
        <v>-0.73660266912250705</v>
      </c>
      <c r="AD102" s="12">
        <f t="shared" si="22"/>
        <v>-0.71118949050674818</v>
      </c>
      <c r="AE102" s="12">
        <f t="shared" si="22"/>
        <v>0.2887653941537715</v>
      </c>
      <c r="AF102" s="13">
        <f t="shared" si="22"/>
        <v>-0.50985434813354169</v>
      </c>
    </row>
    <row r="103" spans="1:32" x14ac:dyDescent="0.25">
      <c r="A103">
        <v>100</v>
      </c>
      <c r="B103" s="11">
        <v>2</v>
      </c>
      <c r="C103" s="12">
        <v>8</v>
      </c>
      <c r="D103" s="12">
        <v>3</v>
      </c>
      <c r="E103" s="12">
        <v>2</v>
      </c>
      <c r="F103" s="12">
        <v>8</v>
      </c>
      <c r="G103" s="12">
        <v>8</v>
      </c>
      <c r="H103" s="12">
        <v>5</v>
      </c>
      <c r="I103" s="12">
        <v>4</v>
      </c>
      <c r="J103" s="13">
        <v>7</v>
      </c>
      <c r="W103">
        <f t="shared" si="21"/>
        <v>100</v>
      </c>
      <c r="X103" s="11">
        <f t="shared" si="23"/>
        <v>-1.349169127354642</v>
      </c>
      <c r="Y103" s="12">
        <f t="shared" si="23"/>
        <v>-0.29238417492594532</v>
      </c>
      <c r="Z103" s="12">
        <f t="shared" si="23"/>
        <v>-0.27284414885500391</v>
      </c>
      <c r="AA103" s="12">
        <f t="shared" si="22"/>
        <v>-1.3641708268600676</v>
      </c>
      <c r="AB103" s="12">
        <f t="shared" si="22"/>
        <v>1.3509090706807538</v>
      </c>
      <c r="AC103" s="12">
        <f t="shared" si="22"/>
        <v>1.4549424621510667</v>
      </c>
      <c r="AD103" s="12">
        <f t="shared" si="22"/>
        <v>6.1142987871620834E-2</v>
      </c>
      <c r="AE103" s="12">
        <f t="shared" si="22"/>
        <v>-0.76129058458721444</v>
      </c>
      <c r="AF103" s="13">
        <f t="shared" si="22"/>
        <v>-0.50985434813354169</v>
      </c>
    </row>
    <row r="104" spans="1:32" x14ac:dyDescent="0.25">
      <c r="A104">
        <f>A103+1</f>
        <v>101</v>
      </c>
      <c r="B104" s="11">
        <v>5</v>
      </c>
      <c r="C104" s="12">
        <v>8</v>
      </c>
      <c r="D104" s="12">
        <v>1</v>
      </c>
      <c r="E104" s="12">
        <v>3</v>
      </c>
      <c r="F104" s="12">
        <v>6</v>
      </c>
      <c r="G104" s="12">
        <v>6</v>
      </c>
      <c r="H104" s="12">
        <v>4</v>
      </c>
      <c r="I104" s="12">
        <v>5</v>
      </c>
      <c r="J104" s="13">
        <v>7</v>
      </c>
      <c r="W104">
        <f t="shared" si="21"/>
        <v>101</v>
      </c>
      <c r="X104" s="11">
        <f t="shared" si="23"/>
        <v>1.0201034865364365</v>
      </c>
      <c r="Y104" s="12">
        <f t="shared" si="23"/>
        <v>-0.29238417492594532</v>
      </c>
      <c r="Z104" s="12">
        <f t="shared" si="23"/>
        <v>-1.4854848104327987</v>
      </c>
      <c r="AA104" s="12">
        <f t="shared" si="22"/>
        <v>-0.378023241178091</v>
      </c>
      <c r="AB104" s="12">
        <f t="shared" si="22"/>
        <v>-0.74082110327654205</v>
      </c>
      <c r="AC104" s="12">
        <f t="shared" si="22"/>
        <v>-6.0876253646491192E-3</v>
      </c>
      <c r="AD104" s="12">
        <f t="shared" si="22"/>
        <v>-0.32502325131756366</v>
      </c>
      <c r="AE104" s="12">
        <f t="shared" si="22"/>
        <v>0.2887653941537715</v>
      </c>
      <c r="AF104" s="13">
        <f t="shared" si="22"/>
        <v>-0.50985434813354169</v>
      </c>
    </row>
    <row r="105" spans="1:32" x14ac:dyDescent="0.25">
      <c r="A105">
        <f t="shared" ref="A105:A123" si="24">A104+1</f>
        <v>102</v>
      </c>
      <c r="B105" s="11">
        <v>6</v>
      </c>
      <c r="C105" s="12">
        <v>8</v>
      </c>
      <c r="D105" s="12">
        <v>3</v>
      </c>
      <c r="E105" s="12">
        <v>3</v>
      </c>
      <c r="F105" s="12">
        <v>6</v>
      </c>
      <c r="G105" s="12">
        <v>5</v>
      </c>
      <c r="H105" s="12">
        <v>4</v>
      </c>
      <c r="I105" s="12">
        <v>4</v>
      </c>
      <c r="J105" s="13">
        <v>7</v>
      </c>
      <c r="W105">
        <f t="shared" si="21"/>
        <v>102</v>
      </c>
      <c r="X105" s="11">
        <f t="shared" si="23"/>
        <v>1.8098610245001292</v>
      </c>
      <c r="Y105" s="12">
        <f t="shared" si="23"/>
        <v>-0.29238417492594532</v>
      </c>
      <c r="Z105" s="12">
        <f t="shared" si="23"/>
        <v>-0.27284414885500391</v>
      </c>
      <c r="AA105" s="12">
        <f t="shared" si="22"/>
        <v>-0.378023241178091</v>
      </c>
      <c r="AB105" s="12">
        <f t="shared" si="22"/>
        <v>-0.74082110327654205</v>
      </c>
      <c r="AC105" s="12">
        <f t="shared" si="22"/>
        <v>-0.73660266912250705</v>
      </c>
      <c r="AD105" s="12">
        <f t="shared" si="22"/>
        <v>-0.32502325131756366</v>
      </c>
      <c r="AE105" s="12">
        <f t="shared" si="22"/>
        <v>-0.76129058458721444</v>
      </c>
      <c r="AF105" s="13">
        <f t="shared" si="22"/>
        <v>-0.50985434813354169</v>
      </c>
    </row>
    <row r="106" spans="1:32" x14ac:dyDescent="0.25">
      <c r="A106">
        <f t="shared" si="24"/>
        <v>103</v>
      </c>
      <c r="B106" s="11">
        <v>5</v>
      </c>
      <c r="C106" s="12">
        <v>7</v>
      </c>
      <c r="D106" s="12">
        <v>3</v>
      </c>
      <c r="E106" s="12">
        <v>3</v>
      </c>
      <c r="F106" s="12">
        <v>7</v>
      </c>
      <c r="G106" s="12">
        <v>6</v>
      </c>
      <c r="H106" s="12">
        <v>6</v>
      </c>
      <c r="I106" s="12">
        <v>4</v>
      </c>
      <c r="J106" s="13">
        <v>7</v>
      </c>
      <c r="W106">
        <f t="shared" si="21"/>
        <v>103</v>
      </c>
      <c r="X106" s="11">
        <f t="shared" si="23"/>
        <v>1.0201034865364365</v>
      </c>
      <c r="Y106" s="12">
        <f t="shared" si="23"/>
        <v>-2.0466892244816233</v>
      </c>
      <c r="Z106" s="12">
        <f t="shared" si="23"/>
        <v>-0.27284414885500391</v>
      </c>
      <c r="AA106" s="12">
        <f t="shared" si="22"/>
        <v>-0.378023241178091</v>
      </c>
      <c r="AB106" s="12">
        <f t="shared" si="22"/>
        <v>0.30504398370210595</v>
      </c>
      <c r="AC106" s="12">
        <f t="shared" si="22"/>
        <v>-6.0876253646491192E-3</v>
      </c>
      <c r="AD106" s="12">
        <f t="shared" si="22"/>
        <v>0.44730922706080534</v>
      </c>
      <c r="AE106" s="12">
        <f t="shared" si="22"/>
        <v>-0.76129058458721444</v>
      </c>
      <c r="AF106" s="13">
        <f t="shared" si="22"/>
        <v>-0.50985434813354169</v>
      </c>
    </row>
    <row r="107" spans="1:32" x14ac:dyDescent="0.25">
      <c r="A107">
        <f t="shared" si="24"/>
        <v>104</v>
      </c>
      <c r="B107" s="11">
        <v>4</v>
      </c>
      <c r="C107" s="12">
        <v>8</v>
      </c>
      <c r="D107" s="12">
        <v>3</v>
      </c>
      <c r="E107" s="12">
        <v>5</v>
      </c>
      <c r="F107" s="12">
        <v>6</v>
      </c>
      <c r="G107" s="12">
        <v>7</v>
      </c>
      <c r="H107" s="12">
        <v>2</v>
      </c>
      <c r="I107" s="12">
        <v>6</v>
      </c>
      <c r="J107" s="13">
        <v>6</v>
      </c>
      <c r="W107">
        <f t="shared" si="21"/>
        <v>104</v>
      </c>
      <c r="X107" s="11">
        <f t="shared" si="23"/>
        <v>0.23034594857274363</v>
      </c>
      <c r="Y107" s="12">
        <f t="shared" si="23"/>
        <v>-0.29238417492594532</v>
      </c>
      <c r="Z107" s="12">
        <f t="shared" si="23"/>
        <v>-0.27284414885500391</v>
      </c>
      <c r="AA107" s="12">
        <f t="shared" si="22"/>
        <v>1.5942719301858623</v>
      </c>
      <c r="AB107" s="12">
        <f t="shared" si="22"/>
        <v>-0.74082110327654205</v>
      </c>
      <c r="AC107" s="12">
        <f t="shared" si="22"/>
        <v>0.72442741839320879</v>
      </c>
      <c r="AD107" s="12">
        <f t="shared" si="22"/>
        <v>-1.0973557296959326</v>
      </c>
      <c r="AE107" s="12">
        <f t="shared" si="22"/>
        <v>1.3388213728947576</v>
      </c>
      <c r="AF107" s="13">
        <f t="shared" si="22"/>
        <v>-2.2093688419120152</v>
      </c>
    </row>
    <row r="108" spans="1:32" x14ac:dyDescent="0.25">
      <c r="A108">
        <f t="shared" si="24"/>
        <v>105</v>
      </c>
      <c r="B108" s="11">
        <v>3</v>
      </c>
      <c r="C108" s="12">
        <v>9</v>
      </c>
      <c r="D108" s="12">
        <v>3</v>
      </c>
      <c r="E108" s="12">
        <v>2</v>
      </c>
      <c r="F108" s="12">
        <v>6</v>
      </c>
      <c r="G108" s="12">
        <v>6</v>
      </c>
      <c r="H108" s="12">
        <v>5</v>
      </c>
      <c r="I108" s="12">
        <v>4</v>
      </c>
      <c r="J108" s="13">
        <v>8</v>
      </c>
      <c r="W108">
        <f t="shared" si="21"/>
        <v>105</v>
      </c>
      <c r="X108" s="11">
        <f t="shared" si="23"/>
        <v>-0.55941158939094915</v>
      </c>
      <c r="Y108" s="12">
        <f t="shared" si="23"/>
        <v>1.4619208746297327</v>
      </c>
      <c r="Z108" s="12">
        <f t="shared" si="23"/>
        <v>-0.27284414885500391</v>
      </c>
      <c r="AA108" s="12">
        <f t="shared" si="22"/>
        <v>-1.3641708268600676</v>
      </c>
      <c r="AB108" s="12">
        <f t="shared" si="22"/>
        <v>-0.74082110327654205</v>
      </c>
      <c r="AC108" s="12">
        <f t="shared" si="22"/>
        <v>-6.0876253646491192E-3</v>
      </c>
      <c r="AD108" s="12">
        <f t="shared" si="22"/>
        <v>6.1142987871620834E-2</v>
      </c>
      <c r="AE108" s="12">
        <f t="shared" si="22"/>
        <v>-0.76129058458721444</v>
      </c>
      <c r="AF108" s="13">
        <f t="shared" si="22"/>
        <v>1.1896601456449316</v>
      </c>
    </row>
    <row r="109" spans="1:32" x14ac:dyDescent="0.25">
      <c r="A109">
        <f t="shared" si="24"/>
        <v>106</v>
      </c>
      <c r="B109" s="11">
        <v>4</v>
      </c>
      <c r="C109" s="12">
        <v>8</v>
      </c>
      <c r="D109" s="12">
        <v>5</v>
      </c>
      <c r="E109" s="12">
        <v>4</v>
      </c>
      <c r="F109" s="12">
        <v>7</v>
      </c>
      <c r="G109" s="12">
        <v>6</v>
      </c>
      <c r="H109" s="12">
        <v>7</v>
      </c>
      <c r="I109" s="12">
        <v>5</v>
      </c>
      <c r="J109" s="13">
        <v>8</v>
      </c>
      <c r="W109">
        <f t="shared" si="21"/>
        <v>106</v>
      </c>
      <c r="X109" s="11">
        <f t="shared" si="23"/>
        <v>0.23034594857274363</v>
      </c>
      <c r="Y109" s="12">
        <f t="shared" si="23"/>
        <v>-0.29238417492594532</v>
      </c>
      <c r="Z109" s="12">
        <f t="shared" si="23"/>
        <v>0.93979651272279086</v>
      </c>
      <c r="AA109" s="12">
        <f t="shared" si="22"/>
        <v>0.60812434450388564</v>
      </c>
      <c r="AB109" s="12">
        <f t="shared" si="22"/>
        <v>0.30504398370210595</v>
      </c>
      <c r="AC109" s="12">
        <f t="shared" si="22"/>
        <v>-6.0876253646491192E-3</v>
      </c>
      <c r="AD109" s="12">
        <f t="shared" si="22"/>
        <v>0.8334754662499898</v>
      </c>
      <c r="AE109" s="12">
        <f t="shared" si="22"/>
        <v>0.2887653941537715</v>
      </c>
      <c r="AF109" s="13">
        <f t="shared" si="22"/>
        <v>1.1896601456449316</v>
      </c>
    </row>
    <row r="110" spans="1:32" x14ac:dyDescent="0.25">
      <c r="A110">
        <f t="shared" si="24"/>
        <v>107</v>
      </c>
      <c r="B110" s="11">
        <v>5</v>
      </c>
      <c r="C110" s="12">
        <v>9</v>
      </c>
      <c r="D110" s="12">
        <v>7</v>
      </c>
      <c r="E110" s="12">
        <v>2</v>
      </c>
      <c r="F110" s="12">
        <v>5</v>
      </c>
      <c r="G110" s="12">
        <v>6</v>
      </c>
      <c r="H110" s="12">
        <v>8</v>
      </c>
      <c r="I110" s="12">
        <v>6</v>
      </c>
      <c r="J110" s="13">
        <v>8</v>
      </c>
      <c r="W110">
        <f t="shared" si="21"/>
        <v>107</v>
      </c>
      <c r="X110" s="11">
        <f t="shared" si="23"/>
        <v>1.0201034865364365</v>
      </c>
      <c r="Y110" s="12">
        <f t="shared" si="23"/>
        <v>1.4619208746297327</v>
      </c>
      <c r="Z110" s="12">
        <f t="shared" si="23"/>
        <v>2.1524371743005855</v>
      </c>
      <c r="AA110" s="12">
        <f t="shared" si="22"/>
        <v>-1.3641708268600676</v>
      </c>
      <c r="AB110" s="12">
        <f t="shared" si="22"/>
        <v>-1.78668619025519</v>
      </c>
      <c r="AC110" s="12">
        <f t="shared" si="22"/>
        <v>-6.0876253646491192E-3</v>
      </c>
      <c r="AD110" s="12">
        <f t="shared" si="22"/>
        <v>1.2196417054391744</v>
      </c>
      <c r="AE110" s="12">
        <f t="shared" si="22"/>
        <v>1.3388213728947576</v>
      </c>
      <c r="AF110" s="13">
        <f t="shared" si="22"/>
        <v>1.1896601456449316</v>
      </c>
    </row>
    <row r="111" spans="1:32" x14ac:dyDescent="0.25">
      <c r="A111">
        <f t="shared" si="24"/>
        <v>108</v>
      </c>
      <c r="B111" s="11">
        <v>5</v>
      </c>
      <c r="C111" s="12">
        <v>8</v>
      </c>
      <c r="D111" s="12">
        <v>2</v>
      </c>
      <c r="E111" s="12">
        <v>4</v>
      </c>
      <c r="F111" s="12">
        <v>6</v>
      </c>
      <c r="G111" s="12">
        <v>7</v>
      </c>
      <c r="H111" s="12">
        <v>3</v>
      </c>
      <c r="I111" s="12">
        <v>4</v>
      </c>
      <c r="J111" s="13">
        <v>7</v>
      </c>
      <c r="W111">
        <f t="shared" si="21"/>
        <v>108</v>
      </c>
      <c r="X111" s="11">
        <f t="shared" si="23"/>
        <v>1.0201034865364365</v>
      </c>
      <c r="Y111" s="12">
        <f t="shared" si="23"/>
        <v>-0.29238417492594532</v>
      </c>
      <c r="Z111" s="12">
        <f t="shared" si="23"/>
        <v>-0.87916447964390132</v>
      </c>
      <c r="AA111" s="12">
        <f t="shared" si="22"/>
        <v>0.60812434450388564</v>
      </c>
      <c r="AB111" s="12">
        <f t="shared" si="22"/>
        <v>-0.74082110327654205</v>
      </c>
      <c r="AC111" s="12">
        <f t="shared" si="22"/>
        <v>0.72442741839320879</v>
      </c>
      <c r="AD111" s="12">
        <f t="shared" si="22"/>
        <v>-0.71118949050674818</v>
      </c>
      <c r="AE111" s="12">
        <f t="shared" si="22"/>
        <v>-0.76129058458721444</v>
      </c>
      <c r="AF111" s="13">
        <f t="shared" si="22"/>
        <v>-0.50985434813354169</v>
      </c>
    </row>
    <row r="112" spans="1:32" x14ac:dyDescent="0.25">
      <c r="A112">
        <f t="shared" si="24"/>
        <v>109</v>
      </c>
      <c r="B112" s="11">
        <v>4</v>
      </c>
      <c r="C112" s="12">
        <v>9</v>
      </c>
      <c r="D112" s="12">
        <v>4</v>
      </c>
      <c r="E112" s="12">
        <v>3</v>
      </c>
      <c r="F112" s="12">
        <v>7</v>
      </c>
      <c r="G112" s="12">
        <v>6</v>
      </c>
      <c r="H112" s="12">
        <v>4</v>
      </c>
      <c r="I112" s="12">
        <v>4</v>
      </c>
      <c r="J112" s="13">
        <v>8</v>
      </c>
      <c r="W112">
        <f t="shared" si="21"/>
        <v>109</v>
      </c>
      <c r="X112" s="11">
        <f t="shared" si="23"/>
        <v>0.23034594857274363</v>
      </c>
      <c r="Y112" s="12">
        <f t="shared" si="23"/>
        <v>1.4619208746297327</v>
      </c>
      <c r="Z112" s="12">
        <f t="shared" si="23"/>
        <v>0.33347618193389345</v>
      </c>
      <c r="AA112" s="12">
        <f t="shared" si="22"/>
        <v>-0.378023241178091</v>
      </c>
      <c r="AB112" s="12">
        <f t="shared" si="22"/>
        <v>0.30504398370210595</v>
      </c>
      <c r="AC112" s="12">
        <f t="shared" si="22"/>
        <v>-6.0876253646491192E-3</v>
      </c>
      <c r="AD112" s="12">
        <f t="shared" si="22"/>
        <v>-0.32502325131756366</v>
      </c>
      <c r="AE112" s="12">
        <f t="shared" si="22"/>
        <v>-0.76129058458721444</v>
      </c>
      <c r="AF112" s="13">
        <f t="shared" si="22"/>
        <v>1.1896601456449316</v>
      </c>
    </row>
    <row r="113" spans="1:32" x14ac:dyDescent="0.25">
      <c r="A113">
        <f t="shared" si="24"/>
        <v>110</v>
      </c>
      <c r="B113" s="11">
        <v>4</v>
      </c>
      <c r="C113" s="12">
        <v>9</v>
      </c>
      <c r="D113" s="12">
        <v>5</v>
      </c>
      <c r="E113" s="12">
        <v>3</v>
      </c>
      <c r="F113" s="12">
        <v>8</v>
      </c>
      <c r="G113" s="12">
        <v>6</v>
      </c>
      <c r="H113" s="12">
        <v>8</v>
      </c>
      <c r="I113" s="12">
        <v>5</v>
      </c>
      <c r="J113" s="13">
        <v>7</v>
      </c>
      <c r="W113">
        <f t="shared" si="21"/>
        <v>110</v>
      </c>
      <c r="X113" s="11">
        <f t="shared" si="23"/>
        <v>0.23034594857274363</v>
      </c>
      <c r="Y113" s="12">
        <f t="shared" si="23"/>
        <v>1.4619208746297327</v>
      </c>
      <c r="Z113" s="12">
        <f t="shared" si="23"/>
        <v>0.93979651272279086</v>
      </c>
      <c r="AA113" s="12">
        <f t="shared" si="22"/>
        <v>-0.378023241178091</v>
      </c>
      <c r="AB113" s="12">
        <f t="shared" si="22"/>
        <v>1.3509090706807538</v>
      </c>
      <c r="AC113" s="12">
        <f t="shared" si="22"/>
        <v>-6.0876253646491192E-3</v>
      </c>
      <c r="AD113" s="12">
        <f t="shared" si="22"/>
        <v>1.2196417054391744</v>
      </c>
      <c r="AE113" s="12">
        <f t="shared" si="22"/>
        <v>0.2887653941537715</v>
      </c>
      <c r="AF113" s="13">
        <f t="shared" si="22"/>
        <v>-0.50985434813354169</v>
      </c>
    </row>
    <row r="114" spans="1:32" x14ac:dyDescent="0.25">
      <c r="A114">
        <f t="shared" si="24"/>
        <v>111</v>
      </c>
      <c r="B114" s="11">
        <v>4</v>
      </c>
      <c r="C114" s="12">
        <v>9</v>
      </c>
      <c r="D114" s="12">
        <v>2</v>
      </c>
      <c r="E114" s="12">
        <v>3</v>
      </c>
      <c r="F114" s="12">
        <v>7</v>
      </c>
      <c r="G114" s="12">
        <v>6</v>
      </c>
      <c r="H114" s="12">
        <v>4</v>
      </c>
      <c r="I114" s="12">
        <v>5</v>
      </c>
      <c r="J114" s="13">
        <v>8</v>
      </c>
      <c r="W114">
        <f t="shared" si="21"/>
        <v>111</v>
      </c>
      <c r="X114" s="11">
        <f t="shared" si="23"/>
        <v>0.23034594857274363</v>
      </c>
      <c r="Y114" s="12">
        <f t="shared" si="23"/>
        <v>1.4619208746297327</v>
      </c>
      <c r="Z114" s="12">
        <f t="shared" si="23"/>
        <v>-0.87916447964390132</v>
      </c>
      <c r="AA114" s="12">
        <f t="shared" si="22"/>
        <v>-0.378023241178091</v>
      </c>
      <c r="AB114" s="12">
        <f t="shared" si="22"/>
        <v>0.30504398370210595</v>
      </c>
      <c r="AC114" s="12">
        <f t="shared" si="22"/>
        <v>-6.0876253646491192E-3</v>
      </c>
      <c r="AD114" s="12">
        <f t="shared" si="22"/>
        <v>-0.32502325131756366</v>
      </c>
      <c r="AE114" s="12">
        <f t="shared" si="22"/>
        <v>0.2887653941537715</v>
      </c>
      <c r="AF114" s="13">
        <f t="shared" si="22"/>
        <v>1.1896601456449316</v>
      </c>
    </row>
    <row r="115" spans="1:32" x14ac:dyDescent="0.25">
      <c r="A115">
        <f t="shared" si="24"/>
        <v>112</v>
      </c>
      <c r="B115" s="11">
        <v>4</v>
      </c>
      <c r="C115" s="12">
        <v>8</v>
      </c>
      <c r="D115" s="12">
        <v>6</v>
      </c>
      <c r="E115" s="12">
        <v>5</v>
      </c>
      <c r="F115" s="12">
        <v>7</v>
      </c>
      <c r="G115" s="12">
        <v>7</v>
      </c>
      <c r="H115" s="12">
        <v>8</v>
      </c>
      <c r="I115" s="12">
        <v>6</v>
      </c>
      <c r="J115" s="13">
        <v>8</v>
      </c>
      <c r="W115">
        <f t="shared" si="21"/>
        <v>112</v>
      </c>
      <c r="X115" s="11">
        <f t="shared" si="23"/>
        <v>0.23034594857274363</v>
      </c>
      <c r="Y115" s="12">
        <f t="shared" si="23"/>
        <v>-0.29238417492594532</v>
      </c>
      <c r="Z115" s="12">
        <f t="shared" si="23"/>
        <v>1.5461168435116881</v>
      </c>
      <c r="AA115" s="12">
        <f t="shared" si="22"/>
        <v>1.5942719301858623</v>
      </c>
      <c r="AB115" s="12">
        <f t="shared" si="22"/>
        <v>0.30504398370210595</v>
      </c>
      <c r="AC115" s="12">
        <f t="shared" si="22"/>
        <v>0.72442741839320879</v>
      </c>
      <c r="AD115" s="12">
        <f t="shared" si="22"/>
        <v>1.2196417054391744</v>
      </c>
      <c r="AE115" s="12">
        <f t="shared" si="22"/>
        <v>1.3388213728947576</v>
      </c>
      <c r="AF115" s="13">
        <f t="shared" si="22"/>
        <v>1.1896601456449316</v>
      </c>
    </row>
    <row r="116" spans="1:32" x14ac:dyDescent="0.25">
      <c r="A116">
        <f t="shared" si="24"/>
        <v>113</v>
      </c>
      <c r="B116" s="11">
        <v>3</v>
      </c>
      <c r="C116" s="12">
        <v>9</v>
      </c>
      <c r="D116" s="12">
        <v>8</v>
      </c>
      <c r="E116" s="12">
        <v>6</v>
      </c>
      <c r="F116" s="12">
        <v>8</v>
      </c>
      <c r="G116" s="12">
        <v>7</v>
      </c>
      <c r="H116" s="12">
        <v>10</v>
      </c>
      <c r="I116" s="12">
        <v>6</v>
      </c>
      <c r="J116" s="13">
        <v>7</v>
      </c>
      <c r="W116">
        <f t="shared" si="21"/>
        <v>113</v>
      </c>
      <c r="X116" s="11">
        <f t="shared" si="23"/>
        <v>-0.55941158939094915</v>
      </c>
      <c r="Y116" s="12">
        <f t="shared" si="23"/>
        <v>1.4619208746297327</v>
      </c>
      <c r="Z116" s="12">
        <f t="shared" si="23"/>
        <v>2.7587575050894828</v>
      </c>
      <c r="AA116" s="12">
        <f t="shared" si="22"/>
        <v>2.5804195158678387</v>
      </c>
      <c r="AB116" s="12">
        <f t="shared" si="22"/>
        <v>1.3509090706807538</v>
      </c>
      <c r="AC116" s="12">
        <f t="shared" si="22"/>
        <v>0.72442741839320879</v>
      </c>
      <c r="AD116" s="12">
        <f t="shared" si="22"/>
        <v>1.9919741838175433</v>
      </c>
      <c r="AE116" s="12">
        <f t="shared" si="22"/>
        <v>1.3388213728947576</v>
      </c>
      <c r="AF116" s="13">
        <f t="shared" si="22"/>
        <v>-0.50985434813354169</v>
      </c>
    </row>
    <row r="117" spans="1:32" x14ac:dyDescent="0.25">
      <c r="A117">
        <f t="shared" si="24"/>
        <v>114</v>
      </c>
      <c r="B117" s="11">
        <v>2</v>
      </c>
      <c r="C117" s="12">
        <v>9</v>
      </c>
      <c r="D117" s="12">
        <v>7</v>
      </c>
      <c r="E117" s="12">
        <v>4</v>
      </c>
      <c r="F117" s="12">
        <v>6</v>
      </c>
      <c r="G117" s="12">
        <v>6</v>
      </c>
      <c r="H117" s="12">
        <v>9</v>
      </c>
      <c r="I117" s="12">
        <v>5</v>
      </c>
      <c r="J117" s="13">
        <v>7</v>
      </c>
      <c r="W117">
        <f t="shared" si="21"/>
        <v>114</v>
      </c>
      <c r="X117" s="11">
        <f t="shared" si="23"/>
        <v>-1.349169127354642</v>
      </c>
      <c r="Y117" s="12">
        <f t="shared" si="23"/>
        <v>1.4619208746297327</v>
      </c>
      <c r="Z117" s="12">
        <f t="shared" si="23"/>
        <v>2.1524371743005855</v>
      </c>
      <c r="AA117" s="12">
        <f t="shared" si="22"/>
        <v>0.60812434450388564</v>
      </c>
      <c r="AB117" s="12">
        <f t="shared" si="22"/>
        <v>-0.74082110327654205</v>
      </c>
      <c r="AC117" s="12">
        <f t="shared" si="22"/>
        <v>-6.0876253646491192E-3</v>
      </c>
      <c r="AD117" s="12">
        <f t="shared" si="22"/>
        <v>1.6058079446283589</v>
      </c>
      <c r="AE117" s="12">
        <f t="shared" si="22"/>
        <v>0.2887653941537715</v>
      </c>
      <c r="AF117" s="13">
        <f t="shared" si="22"/>
        <v>-0.50985434813354169</v>
      </c>
    </row>
    <row r="118" spans="1:32" x14ac:dyDescent="0.25">
      <c r="A118">
        <f t="shared" si="24"/>
        <v>115</v>
      </c>
      <c r="B118" s="11">
        <v>4</v>
      </c>
      <c r="C118" s="12">
        <v>8</v>
      </c>
      <c r="D118" s="12">
        <v>2</v>
      </c>
      <c r="E118" s="12">
        <v>3</v>
      </c>
      <c r="F118" s="12">
        <v>7</v>
      </c>
      <c r="G118" s="12">
        <v>6</v>
      </c>
      <c r="H118" s="12">
        <v>3</v>
      </c>
      <c r="I118" s="12">
        <v>5</v>
      </c>
      <c r="J118" s="13">
        <v>7</v>
      </c>
      <c r="W118">
        <f t="shared" si="21"/>
        <v>115</v>
      </c>
      <c r="X118" s="11">
        <f t="shared" si="23"/>
        <v>0.23034594857274363</v>
      </c>
      <c r="Y118" s="12">
        <f t="shared" si="23"/>
        <v>-0.29238417492594532</v>
      </c>
      <c r="Z118" s="12">
        <f t="shared" si="23"/>
        <v>-0.87916447964390132</v>
      </c>
      <c r="AA118" s="12">
        <f t="shared" si="22"/>
        <v>-0.378023241178091</v>
      </c>
      <c r="AB118" s="12">
        <f t="shared" si="22"/>
        <v>0.30504398370210595</v>
      </c>
      <c r="AC118" s="12">
        <f t="shared" si="22"/>
        <v>-6.0876253646491192E-3</v>
      </c>
      <c r="AD118" s="12">
        <f t="shared" si="22"/>
        <v>-0.71118949050674818</v>
      </c>
      <c r="AE118" s="12">
        <f t="shared" si="22"/>
        <v>0.2887653941537715</v>
      </c>
      <c r="AF118" s="13">
        <f t="shared" si="22"/>
        <v>-0.50985434813354169</v>
      </c>
    </row>
    <row r="119" spans="1:32" x14ac:dyDescent="0.25">
      <c r="A119">
        <f t="shared" si="24"/>
        <v>116</v>
      </c>
      <c r="B119" s="11">
        <v>5</v>
      </c>
      <c r="C119" s="12">
        <v>8</v>
      </c>
      <c r="D119" s="12">
        <v>5</v>
      </c>
      <c r="E119" s="12">
        <v>4</v>
      </c>
      <c r="F119" s="12">
        <v>6</v>
      </c>
      <c r="G119" s="12">
        <v>7</v>
      </c>
      <c r="H119" s="12">
        <v>8</v>
      </c>
      <c r="I119" s="12">
        <v>6</v>
      </c>
      <c r="J119" s="13">
        <v>7</v>
      </c>
      <c r="W119">
        <f t="shared" si="21"/>
        <v>116</v>
      </c>
      <c r="X119" s="11">
        <f t="shared" si="23"/>
        <v>1.0201034865364365</v>
      </c>
      <c r="Y119" s="12">
        <f t="shared" si="23"/>
        <v>-0.29238417492594532</v>
      </c>
      <c r="Z119" s="12">
        <f t="shared" si="23"/>
        <v>0.93979651272279086</v>
      </c>
      <c r="AA119" s="12">
        <f t="shared" si="22"/>
        <v>0.60812434450388564</v>
      </c>
      <c r="AB119" s="12">
        <f t="shared" si="22"/>
        <v>-0.74082110327654205</v>
      </c>
      <c r="AC119" s="12">
        <f t="shared" si="22"/>
        <v>0.72442741839320879</v>
      </c>
      <c r="AD119" s="12">
        <f t="shared" si="22"/>
        <v>1.2196417054391744</v>
      </c>
      <c r="AE119" s="12">
        <f t="shared" si="22"/>
        <v>1.3388213728947576</v>
      </c>
      <c r="AF119" s="13">
        <f t="shared" si="22"/>
        <v>-0.50985434813354169</v>
      </c>
    </row>
    <row r="120" spans="1:32" x14ac:dyDescent="0.25">
      <c r="A120">
        <f t="shared" si="24"/>
        <v>117</v>
      </c>
      <c r="B120" s="11">
        <v>4</v>
      </c>
      <c r="C120" s="12">
        <v>10</v>
      </c>
      <c r="D120" s="12">
        <v>6</v>
      </c>
      <c r="E120" s="12">
        <v>3</v>
      </c>
      <c r="F120" s="12">
        <v>6</v>
      </c>
      <c r="G120" s="12">
        <v>8</v>
      </c>
      <c r="H120" s="12">
        <v>8</v>
      </c>
      <c r="I120" s="12">
        <v>5</v>
      </c>
      <c r="J120" s="13">
        <v>8</v>
      </c>
      <c r="W120">
        <f t="shared" si="21"/>
        <v>117</v>
      </c>
      <c r="X120" s="11">
        <f t="shared" si="23"/>
        <v>0.23034594857274363</v>
      </c>
      <c r="Y120" s="12">
        <f t="shared" si="23"/>
        <v>3.2162259241854105</v>
      </c>
      <c r="Z120" s="12">
        <f t="shared" si="23"/>
        <v>1.5461168435116881</v>
      </c>
      <c r="AA120" s="12">
        <f t="shared" si="22"/>
        <v>-0.378023241178091</v>
      </c>
      <c r="AB120" s="12">
        <f t="shared" si="22"/>
        <v>-0.74082110327654205</v>
      </c>
      <c r="AC120" s="12">
        <f t="shared" si="22"/>
        <v>1.4549424621510667</v>
      </c>
      <c r="AD120" s="12">
        <f t="shared" si="22"/>
        <v>1.2196417054391744</v>
      </c>
      <c r="AE120" s="12">
        <f t="shared" si="22"/>
        <v>0.2887653941537715</v>
      </c>
      <c r="AF120" s="13">
        <f t="shared" si="22"/>
        <v>1.1896601456449316</v>
      </c>
    </row>
    <row r="121" spans="1:32" x14ac:dyDescent="0.25">
      <c r="A121">
        <f t="shared" si="24"/>
        <v>118</v>
      </c>
      <c r="B121" s="11">
        <v>5</v>
      </c>
      <c r="C121" s="12">
        <v>9</v>
      </c>
      <c r="D121" s="12">
        <v>5</v>
      </c>
      <c r="E121" s="12">
        <v>5</v>
      </c>
      <c r="F121" s="12">
        <v>8</v>
      </c>
      <c r="G121" s="12">
        <v>3</v>
      </c>
      <c r="H121" s="12">
        <v>8</v>
      </c>
      <c r="I121" s="12">
        <v>5</v>
      </c>
      <c r="J121" s="13">
        <v>7</v>
      </c>
      <c r="W121">
        <f t="shared" si="21"/>
        <v>118</v>
      </c>
      <c r="X121" s="11">
        <f t="shared" si="23"/>
        <v>1.0201034865364365</v>
      </c>
      <c r="Y121" s="12">
        <f t="shared" si="23"/>
        <v>1.4619208746297327</v>
      </c>
      <c r="Z121" s="12">
        <f t="shared" si="23"/>
        <v>0.93979651272279086</v>
      </c>
      <c r="AA121" s="12">
        <f t="shared" si="22"/>
        <v>1.5942719301858623</v>
      </c>
      <c r="AB121" s="12">
        <f t="shared" si="22"/>
        <v>1.3509090706807538</v>
      </c>
      <c r="AC121" s="12">
        <f t="shared" si="22"/>
        <v>-2.1976327566382228</v>
      </c>
      <c r="AD121" s="12">
        <f t="shared" si="22"/>
        <v>1.2196417054391744</v>
      </c>
      <c r="AE121" s="12">
        <f t="shared" si="22"/>
        <v>0.2887653941537715</v>
      </c>
      <c r="AF121" s="13">
        <f t="shared" si="22"/>
        <v>-0.50985434813354169</v>
      </c>
    </row>
    <row r="122" spans="1:32" x14ac:dyDescent="0.25">
      <c r="A122">
        <f t="shared" si="24"/>
        <v>119</v>
      </c>
      <c r="B122" s="11">
        <v>3</v>
      </c>
      <c r="C122" s="12">
        <v>8</v>
      </c>
      <c r="D122" s="12">
        <v>2</v>
      </c>
      <c r="E122" s="12">
        <v>4</v>
      </c>
      <c r="F122" s="12">
        <v>7</v>
      </c>
      <c r="G122" s="12">
        <v>4</v>
      </c>
      <c r="H122" s="12">
        <v>1</v>
      </c>
      <c r="I122" s="12">
        <v>6</v>
      </c>
      <c r="J122" s="13">
        <v>8</v>
      </c>
      <c r="W122">
        <f t="shared" si="21"/>
        <v>119</v>
      </c>
      <c r="X122" s="11">
        <f t="shared" si="23"/>
        <v>-0.55941158939094915</v>
      </c>
      <c r="Y122" s="12">
        <f t="shared" si="23"/>
        <v>-0.29238417492594532</v>
      </c>
      <c r="Z122" s="12">
        <f t="shared" si="23"/>
        <v>-0.87916447964390132</v>
      </c>
      <c r="AA122" s="12">
        <f t="shared" si="22"/>
        <v>0.60812434450388564</v>
      </c>
      <c r="AB122" s="12">
        <f t="shared" si="22"/>
        <v>0.30504398370210595</v>
      </c>
      <c r="AC122" s="12">
        <f t="shared" si="22"/>
        <v>-1.467117712880365</v>
      </c>
      <c r="AD122" s="12">
        <f t="shared" si="22"/>
        <v>-1.4835219688851171</v>
      </c>
      <c r="AE122" s="12">
        <f t="shared" si="22"/>
        <v>1.3388213728947576</v>
      </c>
      <c r="AF122" s="13">
        <f t="shared" si="22"/>
        <v>1.1896601456449316</v>
      </c>
    </row>
    <row r="123" spans="1:32" x14ac:dyDescent="0.25">
      <c r="A123">
        <f t="shared" si="24"/>
        <v>120</v>
      </c>
      <c r="B123" s="14">
        <v>5</v>
      </c>
      <c r="C123" s="15">
        <v>8</v>
      </c>
      <c r="D123" s="15">
        <v>1</v>
      </c>
      <c r="E123" s="15">
        <v>5</v>
      </c>
      <c r="F123" s="15">
        <v>5</v>
      </c>
      <c r="G123" s="15">
        <v>6</v>
      </c>
      <c r="H123" s="15">
        <v>1</v>
      </c>
      <c r="I123" s="15">
        <v>3</v>
      </c>
      <c r="J123" s="16">
        <v>8</v>
      </c>
      <c r="W123">
        <f t="shared" si="21"/>
        <v>120</v>
      </c>
      <c r="X123" s="14">
        <f t="shared" si="23"/>
        <v>1.0201034865364365</v>
      </c>
      <c r="Y123" s="15">
        <f t="shared" si="23"/>
        <v>-0.29238417492594532</v>
      </c>
      <c r="Z123" s="15">
        <f t="shared" si="23"/>
        <v>-1.4854848104327987</v>
      </c>
      <c r="AA123" s="15">
        <f t="shared" si="22"/>
        <v>1.5942719301858623</v>
      </c>
      <c r="AB123" s="15">
        <f t="shared" si="22"/>
        <v>-1.78668619025519</v>
      </c>
      <c r="AC123" s="15">
        <f t="shared" si="22"/>
        <v>-6.0876253646491192E-3</v>
      </c>
      <c r="AD123" s="15">
        <f t="shared" si="22"/>
        <v>-1.4835219688851171</v>
      </c>
      <c r="AE123" s="15">
        <f t="shared" si="22"/>
        <v>-1.8113465633282004</v>
      </c>
      <c r="AF123" s="16">
        <f t="shared" si="22"/>
        <v>1.1896601456449316</v>
      </c>
    </row>
    <row r="124" spans="1:32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x14ac:dyDescent="0.25">
      <c r="B125" s="7" t="str">
        <f>B3</f>
        <v>Expect</v>
      </c>
      <c r="C125" s="7" t="str">
        <f t="shared" ref="C125:J125" si="25">C3</f>
        <v>Entertain</v>
      </c>
      <c r="D125" s="7" t="str">
        <f t="shared" si="25"/>
        <v>Comm</v>
      </c>
      <c r="E125" s="7" t="str">
        <f t="shared" si="25"/>
        <v>Expert</v>
      </c>
      <c r="F125" s="7" t="str">
        <f t="shared" si="25"/>
        <v>Motivate</v>
      </c>
      <c r="G125" s="7" t="str">
        <f t="shared" si="25"/>
        <v>Caring</v>
      </c>
      <c r="H125" s="7" t="str">
        <f t="shared" si="25"/>
        <v>Charisma</v>
      </c>
      <c r="I125" s="7" t="str">
        <f t="shared" si="25"/>
        <v>Passion</v>
      </c>
      <c r="J125" s="7" t="str">
        <f t="shared" si="25"/>
        <v>Friendly</v>
      </c>
    </row>
    <row r="126" spans="1:32" x14ac:dyDescent="0.25">
      <c r="A126" t="s">
        <v>44</v>
      </c>
      <c r="B126" s="8">
        <f>AVERAGE(B4:B123)</f>
        <v>3.7083333333333335</v>
      </c>
      <c r="C126" s="9">
        <f t="shared" ref="C126:J126" si="26">AVERAGE(C4:C123)</f>
        <v>8.1666666666666661</v>
      </c>
      <c r="D126" s="9">
        <f t="shared" si="26"/>
        <v>3.45</v>
      </c>
      <c r="E126" s="9">
        <f t="shared" si="26"/>
        <v>3.3833333333333333</v>
      </c>
      <c r="F126" s="9">
        <f t="shared" si="26"/>
        <v>6.708333333333333</v>
      </c>
      <c r="G126" s="9">
        <f t="shared" si="26"/>
        <v>6.0083333333333337</v>
      </c>
      <c r="H126" s="9">
        <f t="shared" si="26"/>
        <v>4.8416666666666668</v>
      </c>
      <c r="I126" s="9">
        <f t="shared" si="26"/>
        <v>4.7249999999999996</v>
      </c>
      <c r="J126" s="10">
        <f t="shared" si="26"/>
        <v>7.3</v>
      </c>
    </row>
    <row r="127" spans="1:32" x14ac:dyDescent="0.25">
      <c r="A127" t="s">
        <v>45</v>
      </c>
      <c r="B127" s="11">
        <f>STDEV(B4:B123)</f>
        <v>1.2662114027786242</v>
      </c>
      <c r="C127" s="12">
        <f t="shared" ref="C127:J127" si="27">STDEV(C4:C123)</f>
        <v>0.57002629061192933</v>
      </c>
      <c r="D127" s="12">
        <f t="shared" si="27"/>
        <v>1.6492932023224043</v>
      </c>
      <c r="E127" s="12">
        <f t="shared" si="27"/>
        <v>1.0140469991704575</v>
      </c>
      <c r="F127" s="12">
        <f t="shared" si="27"/>
        <v>0.95614626824273719</v>
      </c>
      <c r="G127" s="12">
        <f t="shared" si="27"/>
        <v>1.3688972027952755</v>
      </c>
      <c r="H127" s="12">
        <f t="shared" si="27"/>
        <v>2.5895583262266895</v>
      </c>
      <c r="I127" s="12">
        <f t="shared" si="27"/>
        <v>0.95233018071950515</v>
      </c>
      <c r="J127" s="13">
        <f t="shared" si="27"/>
        <v>0.58840333734179207</v>
      </c>
    </row>
    <row r="128" spans="1:32" x14ac:dyDescent="0.25">
      <c r="A128" t="s">
        <v>46</v>
      </c>
      <c r="B128" s="11">
        <f>SKEW(B4:B123)</f>
        <v>0.13857831473517168</v>
      </c>
      <c r="C128" s="12">
        <f t="shared" ref="C128:J128" si="28">SKEW(C4:C123)</f>
        <v>0.55879383518869019</v>
      </c>
      <c r="D128" s="12">
        <f t="shared" si="28"/>
        <v>0.60968237468969244</v>
      </c>
      <c r="E128" s="12">
        <f t="shared" si="28"/>
        <v>0.25011903407769448</v>
      </c>
      <c r="F128" s="12">
        <f t="shared" si="28"/>
        <v>3.0992568092345463E-2</v>
      </c>
      <c r="G128" s="12">
        <f t="shared" si="28"/>
        <v>-0.23512012357640227</v>
      </c>
      <c r="H128" s="12">
        <f t="shared" si="28"/>
        <v>4.7501040439116834E-2</v>
      </c>
      <c r="I128" s="12">
        <f t="shared" si="28"/>
        <v>-7.3874092896665661E-2</v>
      </c>
      <c r="J128" s="13">
        <f t="shared" si="28"/>
        <v>0.32217223907072601</v>
      </c>
    </row>
    <row r="129" spans="1:10" x14ac:dyDescent="0.25">
      <c r="A129" s="20" t="s">
        <v>47</v>
      </c>
      <c r="B129" s="14">
        <f>KURT(B4:B123)</f>
        <v>-7.5087531931202989E-2</v>
      </c>
      <c r="C129" s="15">
        <f t="shared" ref="C129:J129" si="29">KURT(C4:C123)</f>
        <v>1.2245729768528379</v>
      </c>
      <c r="D129" s="15">
        <f t="shared" si="29"/>
        <v>-0.37097323594953835</v>
      </c>
      <c r="E129" s="15">
        <f t="shared" si="29"/>
        <v>0.79048099823017459</v>
      </c>
      <c r="F129" s="15">
        <f t="shared" si="29"/>
        <v>-9.1985537444213339E-2</v>
      </c>
      <c r="G129" s="15">
        <f t="shared" si="29"/>
        <v>-0.42617618904263521</v>
      </c>
      <c r="H129" s="15">
        <f t="shared" si="29"/>
        <v>-0.92188768731537785</v>
      </c>
      <c r="I129" s="15">
        <f t="shared" si="29"/>
        <v>-0.24984145123189316</v>
      </c>
      <c r="J129" s="16">
        <f t="shared" si="29"/>
        <v>0.13488543363239947</v>
      </c>
    </row>
  </sheetData>
  <conditionalFormatting sqref="AM32:AP40">
    <cfRule type="cellIs" dxfId="6" priority="1" operator="lessThan">
      <formula>-0.4</formula>
    </cfRule>
    <cfRule type="cellIs" dxfId="5" priority="2" operator="greaterThan">
      <formula>0.4</formula>
    </cfRule>
  </conditionalFormatting>
  <conditionalFormatting sqref="R32:U40">
    <cfRule type="cellIs" dxfId="4" priority="3" operator="lessThan">
      <formula>-0.4</formula>
    </cfRule>
    <cfRule type="cellIs" dxfId="3" priority="4" operator="greaterThan">
      <formula>0.4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" sqref="A2:A11"/>
    </sheetView>
  </sheetViews>
  <sheetFormatPr defaultRowHeight="15" x14ac:dyDescent="0.25"/>
  <cols>
    <col min="1" max="1" width="119" bestFit="1" customWidth="1"/>
  </cols>
  <sheetData>
    <row r="1" spans="1:1" x14ac:dyDescent="0.25">
      <c r="A1" s="3"/>
    </row>
    <row r="2" spans="1:1" x14ac:dyDescent="0.25">
      <c r="A2" s="3" t="s">
        <v>57</v>
      </c>
    </row>
    <row r="3" spans="1:1" x14ac:dyDescent="0.25">
      <c r="A3" s="3" t="s">
        <v>48</v>
      </c>
    </row>
    <row r="4" spans="1:1" x14ac:dyDescent="0.25">
      <c r="A4" s="3" t="s">
        <v>49</v>
      </c>
    </row>
    <row r="5" spans="1:1" x14ac:dyDescent="0.25">
      <c r="A5" s="3" t="s">
        <v>50</v>
      </c>
    </row>
    <row r="6" spans="1:1" x14ac:dyDescent="0.25">
      <c r="A6" s="3" t="s">
        <v>51</v>
      </c>
    </row>
    <row r="7" spans="1:1" x14ac:dyDescent="0.25">
      <c r="A7" s="3" t="s">
        <v>52</v>
      </c>
    </row>
    <row r="8" spans="1:1" x14ac:dyDescent="0.25">
      <c r="A8" s="3" t="s">
        <v>53</v>
      </c>
    </row>
    <row r="9" spans="1:1" x14ac:dyDescent="0.25">
      <c r="A9" s="3" t="s">
        <v>54</v>
      </c>
    </row>
    <row r="10" spans="1:1" x14ac:dyDescent="0.25">
      <c r="A10" s="3" t="s">
        <v>55</v>
      </c>
    </row>
    <row r="11" spans="1:1" x14ac:dyDescent="0.25">
      <c r="A11" s="3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Khati, Manish</dc:creator>
  <cp:lastModifiedBy>Khati, Manish</cp:lastModifiedBy>
  <dcterms:created xsi:type="dcterms:W3CDTF">2017-11-27T12:14:36Z</dcterms:created>
  <dcterms:modified xsi:type="dcterms:W3CDTF">2018-01-18T05:25:21Z</dcterms:modified>
</cp:coreProperties>
</file>